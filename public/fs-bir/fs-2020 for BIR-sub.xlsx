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1255" windowHeight="8850" activeTab="2"/>
  </bookViews>
  <sheets>
    <sheet name="trb" sheetId="1" r:id="rId1"/>
    <sheet name="bs" sheetId="2" r:id="rId2"/>
    <sheet name="IS" sheetId="3" r:id="rId3"/>
    <sheet name="-" sheetId="4" r:id="rId4"/>
    <sheet name="Asset-C" sheetId="10" r:id="rId5"/>
    <sheet name="Payables-C" sheetId="11" r:id="rId6"/>
    <sheet name="Income &amp; Expense-C" sheetId="12" r:id="rId7"/>
    <sheet name="Equity-C" sheetId="13" r:id="rId8"/>
    <sheet name="Sheet1" sheetId="14" r:id="rId9"/>
  </sheets>
  <externalReferences>
    <externalReference r:id="rId10"/>
    <externalReference r:id="rId11"/>
  </externalReferences>
  <definedNames>
    <definedName name="_xlnm.Print_Area" localSheetId="2">IS!$A$1:$O$59</definedName>
    <definedName name="_xlnm.Print_Area" localSheetId="0">trb!$A$1:$F$59</definedName>
  </definedNames>
  <calcPr calcId="144525" iterateDelta="1E-4"/>
</workbook>
</file>

<file path=xl/calcChain.xml><?xml version="1.0" encoding="utf-8"?>
<calcChain xmlns="http://schemas.openxmlformats.org/spreadsheetml/2006/main">
  <c r="E14" i="1" l="1"/>
  <c r="E10" i="1"/>
  <c r="F28" i="1"/>
  <c r="G33" i="3"/>
  <c r="G17" i="3"/>
  <c r="G28" i="1"/>
  <c r="F31" i="2"/>
  <c r="E11" i="1"/>
  <c r="F22" i="1" l="1"/>
  <c r="F19" i="1"/>
  <c r="F18" i="1"/>
  <c r="F14" i="2"/>
  <c r="F10" i="2"/>
  <c r="G38" i="14"/>
  <c r="I36" i="14"/>
  <c r="H36" i="14"/>
  <c r="G36" i="14"/>
  <c r="F36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F12" i="14"/>
  <c r="I11" i="14"/>
  <c r="I10" i="14"/>
  <c r="F10" i="14"/>
  <c r="I9" i="14"/>
  <c r="I8" i="14"/>
  <c r="I7" i="14"/>
  <c r="F7" i="14"/>
  <c r="F56" i="13"/>
  <c r="F53" i="13"/>
  <c r="C53" i="13"/>
  <c r="F43" i="13"/>
  <c r="A41" i="13"/>
  <c r="C37" i="13"/>
  <c r="F34" i="13"/>
  <c r="C34" i="13"/>
  <c r="A22" i="13"/>
  <c r="F18" i="13"/>
  <c r="F15" i="13"/>
  <c r="C15" i="13"/>
  <c r="A3" i="13"/>
  <c r="C472" i="12"/>
  <c r="F469" i="12"/>
  <c r="C469" i="12"/>
  <c r="C463" i="12"/>
  <c r="C458" i="12"/>
  <c r="F455" i="12"/>
  <c r="C455" i="12"/>
  <c r="C449" i="12"/>
  <c r="C443" i="12"/>
  <c r="F440" i="12"/>
  <c r="C440" i="12"/>
  <c r="C427" i="12"/>
  <c r="C421" i="12"/>
  <c r="F418" i="12"/>
  <c r="C418" i="12"/>
  <c r="C400" i="12"/>
  <c r="C394" i="12"/>
  <c r="F391" i="12"/>
  <c r="C391" i="12"/>
  <c r="C356" i="12"/>
  <c r="F353" i="12"/>
  <c r="C353" i="12"/>
  <c r="C329" i="12"/>
  <c r="F326" i="12"/>
  <c r="C326" i="12"/>
  <c r="C290" i="12"/>
  <c r="F287" i="12"/>
  <c r="C287" i="12"/>
  <c r="C262" i="12"/>
  <c r="F259" i="12"/>
  <c r="C259" i="12"/>
  <c r="C234" i="12"/>
  <c r="F231" i="12"/>
  <c r="C231" i="12"/>
  <c r="J196" i="12"/>
  <c r="C196" i="12"/>
  <c r="M193" i="12"/>
  <c r="J193" i="12"/>
  <c r="F193" i="12"/>
  <c r="C193" i="12"/>
  <c r="A169" i="12"/>
  <c r="J165" i="12"/>
  <c r="C165" i="12"/>
  <c r="M162" i="12"/>
  <c r="J162" i="12"/>
  <c r="F162" i="12"/>
  <c r="C162" i="12"/>
  <c r="H148" i="12"/>
  <c r="A148" i="12"/>
  <c r="J144" i="12"/>
  <c r="C144" i="12"/>
  <c r="M141" i="12"/>
  <c r="J141" i="12"/>
  <c r="F141" i="12"/>
  <c r="C141" i="12"/>
  <c r="H125" i="12"/>
  <c r="A125" i="12"/>
  <c r="J121" i="12"/>
  <c r="C121" i="12"/>
  <c r="M118" i="12"/>
  <c r="J118" i="12"/>
  <c r="F118" i="12"/>
  <c r="C118" i="12"/>
  <c r="H97" i="12"/>
  <c r="A97" i="12"/>
  <c r="C93" i="12"/>
  <c r="F90" i="12"/>
  <c r="C90" i="12"/>
  <c r="A66" i="12"/>
  <c r="C62" i="12"/>
  <c r="F59" i="12"/>
  <c r="C59" i="12"/>
  <c r="A53" i="12"/>
  <c r="C49" i="12"/>
  <c r="F46" i="12"/>
  <c r="C46" i="12"/>
  <c r="A36" i="12"/>
  <c r="F31" i="12"/>
  <c r="F28" i="12"/>
  <c r="C28" i="12"/>
  <c r="A3" i="12"/>
  <c r="F56" i="11"/>
  <c r="F53" i="11"/>
  <c r="C53" i="11"/>
  <c r="F38" i="11"/>
  <c r="F35" i="11"/>
  <c r="C35" i="11"/>
  <c r="A21" i="11"/>
  <c r="F17" i="11"/>
  <c r="F14" i="11"/>
  <c r="C14" i="11"/>
  <c r="A3" i="11"/>
  <c r="F322" i="10"/>
  <c r="F319" i="10"/>
  <c r="C319" i="10"/>
  <c r="A304" i="10"/>
  <c r="M299" i="10"/>
  <c r="F299" i="10"/>
  <c r="M296" i="10"/>
  <c r="J296" i="10"/>
  <c r="F296" i="10"/>
  <c r="C296" i="10"/>
  <c r="H281" i="10"/>
  <c r="A281" i="10"/>
  <c r="J274" i="10"/>
  <c r="C274" i="10"/>
  <c r="M271" i="10"/>
  <c r="J271" i="10"/>
  <c r="F271" i="10"/>
  <c r="C271" i="10"/>
  <c r="H259" i="10"/>
  <c r="A259" i="10"/>
  <c r="J254" i="10"/>
  <c r="C254" i="10"/>
  <c r="M251" i="10"/>
  <c r="J251" i="10"/>
  <c r="F251" i="10"/>
  <c r="C251" i="10"/>
  <c r="H239" i="10"/>
  <c r="A239" i="10"/>
  <c r="J234" i="10"/>
  <c r="C234" i="10"/>
  <c r="M231" i="10"/>
  <c r="J231" i="10"/>
  <c r="F231" i="10"/>
  <c r="C231" i="10"/>
  <c r="H203" i="10"/>
  <c r="A203" i="10"/>
  <c r="J198" i="10"/>
  <c r="C198" i="10"/>
  <c r="M195" i="10"/>
  <c r="J195" i="10"/>
  <c r="F195" i="10"/>
  <c r="C195" i="10"/>
  <c r="H3" i="10"/>
  <c r="L37" i="3"/>
  <c r="M35" i="3"/>
  <c r="L35" i="3"/>
  <c r="M34" i="3"/>
  <c r="M33" i="3"/>
  <c r="M32" i="3"/>
  <c r="G32" i="3"/>
  <c r="D32" i="3"/>
  <c r="G31" i="3"/>
  <c r="M31" i="3" s="1"/>
  <c r="D31" i="3"/>
  <c r="C31" i="3"/>
  <c r="G30" i="3"/>
  <c r="M30" i="3" s="1"/>
  <c r="D30" i="3"/>
  <c r="C30" i="3"/>
  <c r="G29" i="3"/>
  <c r="M29" i="3" s="1"/>
  <c r="D29" i="3"/>
  <c r="C29" i="3"/>
  <c r="G28" i="3"/>
  <c r="G27" i="3"/>
  <c r="M26" i="3"/>
  <c r="G26" i="3"/>
  <c r="C26" i="3"/>
  <c r="G25" i="3"/>
  <c r="M25" i="3" s="1"/>
  <c r="D25" i="3"/>
  <c r="C25" i="3"/>
  <c r="L22" i="3"/>
  <c r="L19" i="3"/>
  <c r="G19" i="3"/>
  <c r="F19" i="3"/>
  <c r="D19" i="3"/>
  <c r="J18" i="3"/>
  <c r="G18" i="3"/>
  <c r="D18" i="3"/>
  <c r="M17" i="3"/>
  <c r="D17" i="3"/>
  <c r="M16" i="3"/>
  <c r="L12" i="3"/>
  <c r="G11" i="3"/>
  <c r="M11" i="3" s="1"/>
  <c r="D11" i="3"/>
  <c r="G10" i="3"/>
  <c r="D10" i="3"/>
  <c r="F11" i="3" s="1"/>
  <c r="F12" i="3" s="1"/>
  <c r="F22" i="3" s="1"/>
  <c r="F37" i="3" s="1"/>
  <c r="C41" i="2" s="1"/>
  <c r="E41" i="2" s="1"/>
  <c r="I9" i="3"/>
  <c r="O9" i="3" s="1"/>
  <c r="F9" i="3"/>
  <c r="F40" i="2"/>
  <c r="C40" i="2"/>
  <c r="F39" i="2"/>
  <c r="I39" i="2" s="1"/>
  <c r="C39" i="2"/>
  <c r="B39" i="2"/>
  <c r="F38" i="2"/>
  <c r="I38" i="2" s="1"/>
  <c r="C38" i="2"/>
  <c r="B38" i="2"/>
  <c r="F35" i="2"/>
  <c r="H35" i="2" s="1"/>
  <c r="C35" i="2"/>
  <c r="E35" i="2" s="1"/>
  <c r="B35" i="2"/>
  <c r="F32" i="2"/>
  <c r="C32" i="2"/>
  <c r="B32" i="2"/>
  <c r="C31" i="2"/>
  <c r="B31" i="2"/>
  <c r="I30" i="2"/>
  <c r="F30" i="2"/>
  <c r="C30" i="2"/>
  <c r="B30" i="2"/>
  <c r="F22" i="2"/>
  <c r="I22" i="2" s="1"/>
  <c r="C22" i="2"/>
  <c r="B22" i="2"/>
  <c r="I21" i="2"/>
  <c r="F21" i="2"/>
  <c r="C21" i="2"/>
  <c r="B21" i="2"/>
  <c r="F20" i="2"/>
  <c r="H22" i="2" s="1"/>
  <c r="C20" i="2"/>
  <c r="B20" i="2"/>
  <c r="F19" i="2"/>
  <c r="I19" i="2" s="1"/>
  <c r="C19" i="2"/>
  <c r="B19" i="2"/>
  <c r="F18" i="2"/>
  <c r="B18" i="2"/>
  <c r="F17" i="2"/>
  <c r="C17" i="2"/>
  <c r="E22" i="2" s="1"/>
  <c r="B17" i="2"/>
  <c r="C14" i="2"/>
  <c r="B14" i="2"/>
  <c r="F13" i="2"/>
  <c r="I13" i="2" s="1"/>
  <c r="C13" i="2"/>
  <c r="B13" i="2"/>
  <c r="F12" i="2"/>
  <c r="C12" i="2"/>
  <c r="B12" i="2"/>
  <c r="F11" i="2"/>
  <c r="C11" i="2"/>
  <c r="B11" i="2"/>
  <c r="C10" i="2"/>
  <c r="B10" i="2"/>
  <c r="A5" i="2"/>
  <c r="F52" i="1"/>
  <c r="E52" i="1"/>
  <c r="C52" i="1"/>
  <c r="B52" i="1"/>
  <c r="C53" i="1" s="1"/>
  <c r="E49" i="1"/>
  <c r="E48" i="1"/>
  <c r="A48" i="1"/>
  <c r="A47" i="1"/>
  <c r="E46" i="1"/>
  <c r="G42" i="1"/>
  <c r="G31" i="1"/>
  <c r="H31" i="1" s="1"/>
  <c r="H32" i="1" s="1"/>
  <c r="H33" i="1" s="1"/>
  <c r="E30" i="1"/>
  <c r="E29" i="1"/>
  <c r="F24" i="1"/>
  <c r="R15" i="1"/>
  <c r="R14" i="1"/>
  <c r="R13" i="1"/>
  <c r="S12" i="1"/>
  <c r="S16" i="1" s="1"/>
  <c r="E12" i="1"/>
  <c r="R11" i="1"/>
  <c r="R16" i="1" s="1"/>
  <c r="E14" i="2" l="1"/>
  <c r="I12" i="2"/>
  <c r="I32" i="2"/>
  <c r="I11" i="3"/>
  <c r="E43" i="2"/>
  <c r="R17" i="1"/>
  <c r="I11" i="2"/>
  <c r="I35" i="2"/>
  <c r="M10" i="3"/>
  <c r="O11" i="3" s="1"/>
  <c r="H32" i="2"/>
  <c r="O12" i="3"/>
  <c r="I14" i="2"/>
  <c r="E24" i="2"/>
  <c r="E44" i="2" s="1"/>
  <c r="M18" i="3"/>
  <c r="I19" i="3"/>
  <c r="I20" i="2"/>
  <c r="M19" i="3"/>
  <c r="O35" i="3"/>
  <c r="I35" i="3"/>
  <c r="H14" i="2"/>
  <c r="H24" i="2" s="1"/>
  <c r="I10" i="2"/>
  <c r="F53" i="1"/>
  <c r="I12" i="3"/>
  <c r="I24" i="2" l="1"/>
  <c r="I22" i="3"/>
  <c r="I37" i="3" s="1"/>
  <c r="O19" i="3"/>
  <c r="O22" i="3" s="1"/>
  <c r="O37" i="3" s="1"/>
  <c r="F41" i="2" l="1"/>
  <c r="I41" i="2" s="1"/>
  <c r="I43" i="2" s="1"/>
  <c r="I44" i="2" s="1"/>
  <c r="H41" i="2" l="1"/>
  <c r="H43" i="2" s="1"/>
  <c r="H44" i="2" s="1"/>
</calcChain>
</file>

<file path=xl/sharedStrings.xml><?xml version="1.0" encoding="utf-8"?>
<sst xmlns="http://schemas.openxmlformats.org/spreadsheetml/2006/main" count="338" uniqueCount="111">
  <si>
    <t>E &amp; G Repacking</t>
  </si>
  <si>
    <t>Magcamiguing, Calamba, Misamis Occidental</t>
  </si>
  <si>
    <t>Trial Balance</t>
  </si>
  <si>
    <t>Account Name</t>
  </si>
  <si>
    <t>Previous</t>
  </si>
  <si>
    <t>Current</t>
  </si>
  <si>
    <t>DR</t>
  </si>
  <si>
    <t>CR</t>
  </si>
  <si>
    <t>Cash /Check</t>
  </si>
  <si>
    <t>Materials Inventory</t>
  </si>
  <si>
    <t>Finished Goods Inventory</t>
  </si>
  <si>
    <t>Merchandise Inventory</t>
  </si>
  <si>
    <t>Accounts Receivable</t>
  </si>
  <si>
    <t>Land and Building</t>
  </si>
  <si>
    <t>Transportation Equipment</t>
  </si>
  <si>
    <t>Office Equipment</t>
  </si>
  <si>
    <t>Accum. Depreciation - TE</t>
  </si>
  <si>
    <t>Accum. Depreciation - OE</t>
  </si>
  <si>
    <t>Accum. Depreciation - Bldg</t>
  </si>
  <si>
    <t>Accounts Payable</t>
  </si>
  <si>
    <t>Loans Payable - Short Term</t>
  </si>
  <si>
    <t>Loans Payable - Long Term</t>
  </si>
  <si>
    <t>Accrued Expense</t>
  </si>
  <si>
    <t>EG, Capital</t>
  </si>
  <si>
    <t>EG, Withdrawal</t>
  </si>
  <si>
    <t>Retained Earnings</t>
  </si>
  <si>
    <t>Sales</t>
  </si>
  <si>
    <t>Sales Returns &amp; Allowances</t>
  </si>
  <si>
    <t>Sales Discount</t>
  </si>
  <si>
    <t>COS</t>
  </si>
  <si>
    <t>Salaries and Wages</t>
  </si>
  <si>
    <t xml:space="preserve">Sales Commission </t>
  </si>
  <si>
    <t>Board, Lodging and Meals</t>
  </si>
  <si>
    <t>Depreciation Exp - TE</t>
  </si>
  <si>
    <t>Depreciation Exp - OE</t>
  </si>
  <si>
    <t>Depreciation Exp - Bldg</t>
  </si>
  <si>
    <t>Fuel and Lubricants</t>
  </si>
  <si>
    <t xml:space="preserve">Repair and Maintenace </t>
  </si>
  <si>
    <t>Interest Expense</t>
  </si>
  <si>
    <t>Power, Light and Water</t>
  </si>
  <si>
    <t>Postage,Telephone and Cable Exp.</t>
  </si>
  <si>
    <t>Taxes and Licenses</t>
  </si>
  <si>
    <t>Transportattion Expense</t>
  </si>
  <si>
    <t>Miscellaneous Expense</t>
  </si>
  <si>
    <t>Shipping Expenses</t>
  </si>
  <si>
    <t>Professional Fee</t>
  </si>
  <si>
    <t>Certified Correct by:</t>
  </si>
  <si>
    <t>ELMER A. CARTAGENAS</t>
  </si>
  <si>
    <t>Proprietor</t>
  </si>
  <si>
    <t xml:space="preserve">E &amp; G Repacking </t>
  </si>
  <si>
    <t>Magcamiguing, Calamba. Misamis Occidental</t>
  </si>
  <si>
    <t>Balance Sheet</t>
  </si>
  <si>
    <t xml:space="preserve">Previous </t>
  </si>
  <si>
    <t>Inc./Dec.</t>
  </si>
  <si>
    <t>Assets</t>
  </si>
  <si>
    <t>Current Assets:</t>
  </si>
  <si>
    <t>Fixed Assets:</t>
  </si>
  <si>
    <t>Total Assets</t>
  </si>
  <si>
    <t>Liabilities and Equity</t>
  </si>
  <si>
    <t>Current Liabilities:</t>
  </si>
  <si>
    <t>Long-term Liabilities:</t>
  </si>
  <si>
    <t>Owner's Equity</t>
  </si>
  <si>
    <t>Retained Earnings, Beg</t>
  </si>
  <si>
    <t>Retained Earnings, Current</t>
  </si>
  <si>
    <t>Total Liabilities and Owner's Equity</t>
  </si>
  <si>
    <t>Income Statement</t>
  </si>
  <si>
    <t>To Date</t>
  </si>
  <si>
    <t>Previous Month</t>
  </si>
  <si>
    <t>This Month</t>
  </si>
  <si>
    <t>Revenue from Sales:</t>
  </si>
  <si>
    <t>  Sales (net of Sales Discounts)</t>
  </si>
  <si>
    <t>  Less:</t>
  </si>
  <si>
    <t>Sales returns &amp; allowances</t>
  </si>
  <si>
    <t>Sales Discounts</t>
  </si>
  <si>
    <t xml:space="preserve">   Net sales</t>
  </si>
  <si>
    <t>Less:</t>
  </si>
  <si>
    <t>Cost of Goods Sold</t>
  </si>
  <si>
    <t>Inventory, Beginning</t>
  </si>
  <si>
    <t>Add: Purchases &amp; Freight-in</t>
  </si>
  <si>
    <t>Cost of Goods Available for Sale</t>
  </si>
  <si>
    <t>Less: Inventory, Ending</t>
  </si>
  <si>
    <t xml:space="preserve">   Gross Profit</t>
  </si>
  <si>
    <t>Operating Expenses</t>
  </si>
  <si>
    <t>Repair and Maintenance</t>
  </si>
  <si>
    <t>Net Income/(Loss)</t>
  </si>
  <si>
    <t>Prepared by:</t>
  </si>
  <si>
    <t>Bookkeeper</t>
  </si>
  <si>
    <t>Noted by:</t>
  </si>
  <si>
    <t>Owner/Manager</t>
  </si>
  <si>
    <t>Cash</t>
  </si>
  <si>
    <t>Beg. Balance</t>
  </si>
  <si>
    <t>-</t>
  </si>
  <si>
    <t>CONTRA-ASSET ACCOUNTS</t>
  </si>
  <si>
    <t>Transportation Expense</t>
  </si>
  <si>
    <t>Power,Light and Water</t>
  </si>
  <si>
    <t>Postage,Telephone and Cable  Expense</t>
  </si>
  <si>
    <t>Service Charge</t>
  </si>
  <si>
    <t>Insurance Expense</t>
  </si>
  <si>
    <t>#45</t>
  </si>
  <si>
    <t>#82</t>
  </si>
  <si>
    <t>#191</t>
  </si>
  <si>
    <t>#195</t>
  </si>
  <si>
    <t>#197</t>
  </si>
  <si>
    <t>Beg</t>
  </si>
  <si>
    <t>12/2014</t>
  </si>
  <si>
    <t>12/2015</t>
  </si>
  <si>
    <t>sales</t>
  </si>
  <si>
    <t>cos-mat</t>
  </si>
  <si>
    <t>cos-mdse</t>
  </si>
  <si>
    <t>For the month ended  December 31,2020</t>
  </si>
  <si>
    <t>As of  December 31,2020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</si>
</sst>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0"/>
      <name val="Times New Roman"/>
      <charset val="134"/>
    </font>
    <font>
      <sz val="10"/>
      <color theme="1"/>
      <name val="Calibri"/>
      <charset val="134"/>
      <scheme val="minor"/>
    </font>
    <font>
      <b/>
      <sz val="14"/>
      <name val="David"/>
      <charset val="177"/>
    </font>
    <font>
      <b/>
      <sz val="9"/>
      <name val="David"/>
      <charset val="177"/>
    </font>
    <font>
      <b/>
      <sz val="14"/>
      <name val="BatangChe"/>
      <charset val="134"/>
    </font>
    <font>
      <sz val="10"/>
      <name val="Cambria"/>
      <charset val="134"/>
      <scheme val="major"/>
    </font>
    <font>
      <b/>
      <sz val="10"/>
      <color theme="1"/>
      <name val="BatangChe"/>
      <charset val="134"/>
    </font>
    <font>
      <b/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i/>
      <sz val="11"/>
      <color theme="1"/>
      <name val="Calibri"/>
      <charset val="134"/>
      <scheme val="minor"/>
    </font>
    <font>
      <sz val="10"/>
      <color theme="1"/>
      <name val="Cambria"/>
      <charset val="134"/>
      <scheme val="major"/>
    </font>
    <font>
      <b/>
      <sz val="11"/>
      <name val="David"/>
      <charset val="177"/>
    </font>
    <font>
      <sz val="11"/>
      <name val="Cambria"/>
      <charset val="134"/>
      <scheme val="major"/>
    </font>
    <font>
      <b/>
      <sz val="11"/>
      <name val="Times New Roman"/>
      <charset val="134"/>
    </font>
    <font>
      <i/>
      <sz val="10"/>
      <color rgb="FFFF0000"/>
      <name val="Times New Roman"/>
      <charset val="134"/>
    </font>
    <font>
      <i/>
      <sz val="10"/>
      <name val="Times New Roman"/>
      <charset val="134"/>
    </font>
    <font>
      <i/>
      <sz val="11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sz val="10"/>
      <name val="David"/>
      <charset val="177"/>
    </font>
    <font>
      <b/>
      <sz val="10"/>
      <name val="Times New Roman"/>
      <charset val="134"/>
    </font>
    <font>
      <sz val="9"/>
      <color rgb="FF252525"/>
      <name val="Times New Roman"/>
      <charset val="134"/>
    </font>
    <font>
      <i/>
      <sz val="8"/>
      <color rgb="FFFF0000"/>
      <name val="Times New Roman"/>
      <charset val="134"/>
    </font>
    <font>
      <i/>
      <sz val="8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E9E7E0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rgb="FFE9E7E0"/>
      </bottom>
      <diagonal/>
    </border>
    <border>
      <left/>
      <right/>
      <top style="thin">
        <color auto="1"/>
      </top>
      <bottom style="medium">
        <color rgb="FFE9E7E0"/>
      </bottom>
      <diagonal/>
    </border>
    <border>
      <left style="thin">
        <color auto="1"/>
      </left>
      <right style="medium">
        <color rgb="FFE9E7E0"/>
      </right>
      <top style="thin">
        <color auto="1"/>
      </top>
      <bottom style="medium">
        <color rgb="FFE9E7E0"/>
      </bottom>
      <diagonal/>
    </border>
    <border>
      <left/>
      <right/>
      <top/>
      <bottom style="medium">
        <color rgb="FFE9E7E0"/>
      </bottom>
      <diagonal/>
    </border>
    <border>
      <left style="thin">
        <color auto="1"/>
      </left>
      <right style="medium">
        <color rgb="FFE9E7E0"/>
      </right>
      <top style="medium">
        <color rgb="FFE9E7E0"/>
      </top>
      <bottom style="medium">
        <color rgb="FFE9E7E0"/>
      </bottom>
      <diagonal/>
    </border>
    <border>
      <left style="thin">
        <color auto="1"/>
      </left>
      <right style="medium">
        <color rgb="FFE9E7E0"/>
      </right>
      <top/>
      <bottom style="medium">
        <color rgb="FFE9E7E0"/>
      </bottom>
      <diagonal/>
    </border>
    <border>
      <left style="thin">
        <color auto="1"/>
      </left>
      <right style="medium">
        <color rgb="FFE9E7E0"/>
      </right>
      <top style="medium">
        <color rgb="FFE9E7E0"/>
      </top>
      <bottom style="thin">
        <color auto="1"/>
      </bottom>
      <diagonal/>
    </border>
    <border>
      <left style="thin">
        <color auto="1"/>
      </left>
      <right style="medium">
        <color rgb="FFE9E7E0"/>
      </right>
      <top/>
      <bottom/>
      <diagonal/>
    </border>
    <border>
      <left style="thin">
        <color auto="1"/>
      </left>
      <right/>
      <top style="medium">
        <color rgb="FFE9E7E0"/>
      </top>
      <bottom style="medium">
        <color rgb="FFE9E7E0"/>
      </bottom>
      <diagonal/>
    </border>
    <border>
      <left style="medium">
        <color rgb="FFE9E7E0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E9E7E0"/>
      </top>
      <bottom style="medium">
        <color rgb="FFE9E7E0"/>
      </bottom>
      <diagonal/>
    </border>
    <border>
      <left style="thin">
        <color auto="1"/>
      </left>
      <right/>
      <top/>
      <bottom style="medium">
        <color rgb="FFE9E7E0"/>
      </bottom>
      <diagonal/>
    </border>
    <border>
      <left style="thin">
        <color auto="1"/>
      </left>
      <right style="medium">
        <color rgb="FFE9E7E0"/>
      </right>
      <top/>
      <bottom style="thin">
        <color auto="1"/>
      </bottom>
      <diagonal/>
    </border>
    <border>
      <left/>
      <right style="medium">
        <color rgb="FFE9E7E0"/>
      </right>
      <top/>
      <bottom style="medium">
        <color rgb="FFE9E7E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2">
    <xf numFmtId="0" fontId="0" fillId="0" borderId="0"/>
    <xf numFmtId="43" fontId="30" fillId="0" borderId="0" applyFont="0" applyFill="0" applyBorder="0" applyAlignment="0" applyProtection="0"/>
  </cellStyleXfs>
  <cellXfs count="241">
    <xf numFmtId="0" fontId="0" fillId="0" borderId="0" xfId="0"/>
    <xf numFmtId="0" fontId="1" fillId="0" borderId="0" xfId="0" applyFont="1" applyFill="1"/>
    <xf numFmtId="4" fontId="1" fillId="0" borderId="0" xfId="0" applyNumberFormat="1" applyFont="1" applyFill="1"/>
    <xf numFmtId="4" fontId="0" fillId="0" borderId="0" xfId="0" applyNumberFormat="1"/>
    <xf numFmtId="43" fontId="0" fillId="0" borderId="0" xfId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3" fontId="0" fillId="0" borderId="3" xfId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0" xfId="1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43" fontId="0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1" xfId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43" fontId="2" fillId="0" borderId="7" xfId="1" applyFont="1" applyBorder="1"/>
    <xf numFmtId="0" fontId="0" fillId="0" borderId="0" xfId="0" applyBorder="1"/>
    <xf numFmtId="43" fontId="2" fillId="0" borderId="8" xfId="1" applyFont="1" applyBorder="1"/>
    <xf numFmtId="14" fontId="0" fillId="0" borderId="5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43" fontId="2" fillId="0" borderId="9" xfId="1" applyFont="1" applyBorder="1"/>
    <xf numFmtId="43" fontId="2" fillId="0" borderId="0" xfId="1" applyFont="1" applyBorder="1"/>
    <xf numFmtId="0" fontId="3" fillId="0" borderId="0" xfId="0" applyFont="1" applyFill="1" applyBorder="1" applyAlignment="1">
      <alignment horizontal="left" vertical="top"/>
    </xf>
    <xf numFmtId="0" fontId="0" fillId="0" borderId="10" xfId="0" applyBorder="1" applyAlignment="1">
      <alignment horizontal="left"/>
    </xf>
    <xf numFmtId="0" fontId="0" fillId="0" borderId="0" xfId="0" applyBorder="1" applyAlignment="1">
      <alignment horizontal="left"/>
    </xf>
    <xf numFmtId="43" fontId="3" fillId="0" borderId="0" xfId="1" applyFont="1" applyFill="1" applyBorder="1" applyAlignment="1">
      <alignment horizontal="left" vertical="top"/>
    </xf>
    <xf numFmtId="14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Fill="1" applyAlignment="1">
      <alignment horizontal="center"/>
    </xf>
    <xf numFmtId="43" fontId="0" fillId="0" borderId="0" xfId="1" applyFont="1" applyBorder="1"/>
    <xf numFmtId="43" fontId="0" fillId="0" borderId="0" xfId="0" applyNumberFormat="1" applyBorder="1"/>
    <xf numFmtId="43" fontId="0" fillId="0" borderId="0" xfId="0" applyNumberFormat="1"/>
    <xf numFmtId="43" fontId="0" fillId="0" borderId="7" xfId="1" applyFont="1" applyBorder="1" applyAlignment="1">
      <alignment horizontal="center"/>
    </xf>
    <xf numFmtId="0" fontId="2" fillId="0" borderId="0" xfId="0" applyFont="1"/>
    <xf numFmtId="0" fontId="0" fillId="0" borderId="10" xfId="0" applyBorder="1"/>
    <xf numFmtId="0" fontId="2" fillId="0" borderId="0" xfId="0" applyFont="1" applyBorder="1"/>
    <xf numFmtId="0" fontId="0" fillId="0" borderId="0" xfId="0" applyFont="1" applyBorder="1"/>
    <xf numFmtId="0" fontId="4" fillId="0" borderId="0" xfId="0" applyFont="1" applyBorder="1"/>
    <xf numFmtId="43" fontId="4" fillId="0" borderId="0" xfId="1" applyFont="1" applyBorder="1"/>
    <xf numFmtId="0" fontId="5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vertical="top"/>
    </xf>
    <xf numFmtId="0" fontId="0" fillId="0" borderId="0" xfId="0" applyFill="1" applyBorder="1"/>
    <xf numFmtId="0" fontId="8" fillId="0" borderId="0" xfId="0" applyFont="1" applyFill="1" applyBorder="1" applyAlignment="1">
      <alignment horizontal="center" vertical="top"/>
    </xf>
    <xf numFmtId="0" fontId="4" fillId="0" borderId="0" xfId="0" applyFont="1" applyFill="1" applyBorder="1"/>
    <xf numFmtId="43" fontId="4" fillId="0" borderId="0" xfId="1" applyFont="1" applyFill="1" applyBorder="1"/>
    <xf numFmtId="0" fontId="2" fillId="0" borderId="10" xfId="0" applyFont="1" applyFill="1" applyBorder="1"/>
    <xf numFmtId="0" fontId="10" fillId="0" borderId="2" xfId="0" applyFont="1" applyFill="1" applyBorder="1" applyAlignment="1"/>
    <xf numFmtId="0" fontId="11" fillId="0" borderId="12" xfId="0" applyFont="1" applyFill="1" applyBorder="1" applyAlignment="1"/>
    <xf numFmtId="43" fontId="11" fillId="0" borderId="10" xfId="1" applyFont="1" applyFill="1" applyBorder="1" applyAlignment="1"/>
    <xf numFmtId="43" fontId="11" fillId="0" borderId="2" xfId="1" applyFont="1" applyFill="1" applyBorder="1" applyAlignment="1"/>
    <xf numFmtId="43" fontId="11" fillId="0" borderId="12" xfId="1" applyFont="1" applyFill="1" applyBorder="1" applyAlignment="1"/>
    <xf numFmtId="0" fontId="0" fillId="0" borderId="5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7" xfId="0" applyFont="1" applyFill="1" applyBorder="1" applyAlignment="1"/>
    <xf numFmtId="43" fontId="1" fillId="0" borderId="5" xfId="1" applyFont="1" applyFill="1" applyBorder="1" applyAlignment="1"/>
    <xf numFmtId="43" fontId="1" fillId="0" borderId="0" xfId="1" applyFont="1" applyFill="1" applyBorder="1" applyAlignment="1"/>
    <xf numFmtId="43" fontId="1" fillId="0" borderId="7" xfId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43" fontId="1" fillId="0" borderId="5" xfId="1" applyFont="1" applyFill="1" applyBorder="1" applyAlignment="1">
      <alignment horizontal="right"/>
    </xf>
    <xf numFmtId="43" fontId="1" fillId="0" borderId="0" xfId="1" applyFont="1" applyFill="1" applyBorder="1" applyAlignment="1">
      <alignment horizontal="right"/>
    </xf>
    <xf numFmtId="43" fontId="1" fillId="0" borderId="7" xfId="1" applyFont="1" applyFill="1" applyBorder="1" applyAlignment="1"/>
    <xf numFmtId="0" fontId="0" fillId="0" borderId="0" xfId="0" applyFont="1" applyFill="1" applyBorder="1"/>
    <xf numFmtId="43" fontId="1" fillId="0" borderId="6" xfId="1" applyFont="1" applyFill="1" applyBorder="1" applyAlignment="1">
      <alignment horizontal="right"/>
    </xf>
    <xf numFmtId="43" fontId="1" fillId="0" borderId="13" xfId="1" applyFont="1" applyFill="1" applyBorder="1" applyAlignment="1">
      <alignment horizontal="right"/>
    </xf>
    <xf numFmtId="0" fontId="11" fillId="0" borderId="7" xfId="0" applyFont="1" applyFill="1" applyBorder="1" applyAlignment="1"/>
    <xf numFmtId="43" fontId="1" fillId="0" borderId="6" xfId="1" applyFont="1" applyFill="1" applyBorder="1" applyAlignment="1"/>
    <xf numFmtId="0" fontId="0" fillId="0" borderId="7" xfId="0" applyFont="1" applyFill="1" applyBorder="1"/>
    <xf numFmtId="0" fontId="11" fillId="0" borderId="0" xfId="0" applyFont="1" applyFill="1" applyBorder="1" applyAlignment="1"/>
    <xf numFmtId="0" fontId="10" fillId="0" borderId="7" xfId="0" applyFont="1" applyFill="1" applyBorder="1" applyAlignment="1"/>
    <xf numFmtId="0" fontId="12" fillId="0" borderId="7" xfId="0" applyFont="1" applyFill="1" applyBorder="1" applyAlignment="1"/>
    <xf numFmtId="0" fontId="13" fillId="0" borderId="0" xfId="0" applyFont="1" applyFill="1" applyBorder="1" applyAlignment="1"/>
    <xf numFmtId="43" fontId="11" fillId="0" borderId="9" xfId="1" applyFont="1" applyFill="1" applyBorder="1" applyAlignment="1">
      <alignment horizontal="right"/>
    </xf>
    <xf numFmtId="0" fontId="0" fillId="0" borderId="6" xfId="0" applyFont="1" applyFill="1" applyBorder="1"/>
    <xf numFmtId="0" fontId="0" fillId="0" borderId="1" xfId="0" applyFont="1" applyFill="1" applyBorder="1"/>
    <xf numFmtId="0" fontId="0" fillId="0" borderId="13" xfId="0" applyFont="1" applyFill="1" applyBorder="1"/>
    <xf numFmtId="43" fontId="0" fillId="0" borderId="6" xfId="1" applyFont="1" applyFill="1" applyBorder="1"/>
    <xf numFmtId="43" fontId="0" fillId="0" borderId="1" xfId="1" applyFont="1" applyFill="1" applyBorder="1"/>
    <xf numFmtId="43" fontId="0" fillId="0" borderId="13" xfId="1" applyFont="1" applyFill="1" applyBorder="1"/>
    <xf numFmtId="43" fontId="0" fillId="0" borderId="0" xfId="1" applyFont="1" applyFill="1" applyBorder="1"/>
    <xf numFmtId="0" fontId="14" fillId="0" borderId="0" xfId="0" applyFont="1" applyFill="1" applyBorder="1"/>
    <xf numFmtId="0" fontId="14" fillId="0" borderId="1" xfId="0" applyFont="1" applyFill="1" applyBorder="1"/>
    <xf numFmtId="0" fontId="14" fillId="0" borderId="0" xfId="0" applyFont="1" applyFill="1" applyBorder="1" applyAlignment="1">
      <alignment horizontal="center"/>
    </xf>
    <xf numFmtId="0" fontId="15" fillId="0" borderId="0" xfId="0" applyFont="1" applyFill="1" applyAlignment="1">
      <alignment horizontal="left" wrapText="1"/>
    </xf>
    <xf numFmtId="0" fontId="15" fillId="0" borderId="0" xfId="0" applyFont="1" applyAlignment="1">
      <alignment horizontal="left" wrapText="1"/>
    </xf>
    <xf numFmtId="0" fontId="16" fillId="0" borderId="0" xfId="0" applyFont="1" applyFill="1" applyBorder="1"/>
    <xf numFmtId="0" fontId="0" fillId="0" borderId="7" xfId="0" applyFill="1" applyBorder="1"/>
    <xf numFmtId="0" fontId="2" fillId="0" borderId="5" xfId="0" applyFont="1" applyBorder="1"/>
    <xf numFmtId="0" fontId="0" fillId="0" borderId="5" xfId="0" applyFont="1" applyBorder="1"/>
    <xf numFmtId="43" fontId="1" fillId="0" borderId="13" xfId="1" applyFont="1" applyFill="1" applyBorder="1" applyAlignment="1"/>
    <xf numFmtId="0" fontId="0" fillId="0" borderId="0" xfId="0" applyFont="1" applyFill="1"/>
    <xf numFmtId="43" fontId="0" fillId="0" borderId="0" xfId="1" applyFont="1" applyFill="1"/>
    <xf numFmtId="43" fontId="17" fillId="0" borderId="0" xfId="1" applyFont="1" applyFill="1"/>
    <xf numFmtId="0" fontId="16" fillId="0" borderId="0" xfId="0" applyFont="1" applyFill="1"/>
    <xf numFmtId="0" fontId="18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top" wrapText="1"/>
    </xf>
    <xf numFmtId="43" fontId="12" fillId="0" borderId="14" xfId="1" applyFont="1" applyFill="1" applyBorder="1" applyAlignment="1">
      <alignment horizontal="center" vertical="top" wrapText="1"/>
    </xf>
    <xf numFmtId="43" fontId="12" fillId="0" borderId="0" xfId="1" applyFont="1" applyFill="1" applyBorder="1" applyAlignment="1">
      <alignment horizontal="center" vertical="top" wrapText="1"/>
    </xf>
    <xf numFmtId="43" fontId="1" fillId="0" borderId="0" xfId="1" applyFont="1" applyFill="1"/>
    <xf numFmtId="0" fontId="20" fillId="0" borderId="15" xfId="0" applyFont="1" applyFill="1" applyBorder="1" applyAlignment="1">
      <alignment horizontal="left" vertical="center"/>
    </xf>
    <xf numFmtId="0" fontId="12" fillId="0" borderId="16" xfId="0" applyFont="1" applyFill="1" applyBorder="1" applyAlignment="1">
      <alignment vertical="top" wrapText="1"/>
    </xf>
    <xf numFmtId="43" fontId="12" fillId="0" borderId="17" xfId="1" applyFont="1" applyFill="1" applyBorder="1" applyAlignment="1">
      <alignment vertical="top" wrapText="1"/>
    </xf>
    <xf numFmtId="43" fontId="12" fillId="0" borderId="2" xfId="1" applyFont="1" applyFill="1" applyBorder="1" applyAlignment="1">
      <alignment vertical="top" wrapText="1"/>
    </xf>
    <xf numFmtId="43" fontId="1" fillId="0" borderId="12" xfId="1" applyFont="1" applyFill="1" applyBorder="1"/>
    <xf numFmtId="0" fontId="1" fillId="0" borderId="5" xfId="0" applyFont="1" applyFill="1" applyBorder="1"/>
    <xf numFmtId="0" fontId="12" fillId="0" borderId="18" xfId="0" applyFont="1" applyFill="1" applyBorder="1" applyAlignment="1">
      <alignment horizontal="left" vertical="top"/>
    </xf>
    <xf numFmtId="43" fontId="12" fillId="0" borderId="19" xfId="1" applyFont="1" applyFill="1" applyBorder="1" applyAlignment="1">
      <alignment horizontal="left" vertical="top"/>
    </xf>
    <xf numFmtId="43" fontId="12" fillId="0" borderId="0" xfId="1" applyFont="1" applyFill="1" applyBorder="1" applyAlignment="1">
      <alignment horizontal="left" vertical="top"/>
    </xf>
    <xf numFmtId="43" fontId="1" fillId="0" borderId="7" xfId="1" applyFont="1" applyFill="1" applyBorder="1"/>
    <xf numFmtId="43" fontId="12" fillId="0" borderId="20" xfId="1" applyFont="1" applyFill="1" applyBorder="1" applyAlignment="1">
      <alignment horizontal="left" vertical="top"/>
    </xf>
    <xf numFmtId="43" fontId="12" fillId="0" borderId="21" xfId="1" applyFont="1" applyFill="1" applyBorder="1" applyAlignment="1">
      <alignment horizontal="left" vertical="top"/>
    </xf>
    <xf numFmtId="43" fontId="1" fillId="0" borderId="7" xfId="1" applyFont="1" applyFill="1" applyBorder="1" applyAlignment="1">
      <alignment horizontal="center"/>
    </xf>
    <xf numFmtId="0" fontId="12" fillId="0" borderId="0" xfId="0" applyFont="1" applyFill="1" applyBorder="1" applyAlignment="1">
      <alignment horizontal="left" vertical="top"/>
    </xf>
    <xf numFmtId="43" fontId="12" fillId="0" borderId="22" xfId="1" applyFont="1" applyFill="1" applyBorder="1" applyAlignment="1">
      <alignment horizontal="left" vertical="top"/>
    </xf>
    <xf numFmtId="0" fontId="20" fillId="0" borderId="23" xfId="0" applyFont="1" applyFill="1" applyBorder="1" applyAlignment="1">
      <alignment vertical="top"/>
    </xf>
    <xf numFmtId="0" fontId="1" fillId="0" borderId="0" xfId="0" applyFont="1" applyFill="1" applyBorder="1"/>
    <xf numFmtId="43" fontId="12" fillId="0" borderId="20" xfId="1" applyFont="1" applyFill="1" applyBorder="1" applyAlignment="1">
      <alignment vertical="top"/>
    </xf>
    <xf numFmtId="43" fontId="12" fillId="0" borderId="0" xfId="1" applyFont="1" applyFill="1" applyBorder="1" applyAlignment="1">
      <alignment vertical="top"/>
    </xf>
    <xf numFmtId="0" fontId="20" fillId="0" borderId="5" xfId="0" applyFont="1" applyFill="1" applyBorder="1" applyAlignment="1">
      <alignment vertical="top"/>
    </xf>
    <xf numFmtId="43" fontId="12" fillId="0" borderId="14" xfId="1" applyFont="1" applyFill="1" applyBorder="1" applyAlignment="1">
      <alignment horizontal="left" vertical="top"/>
    </xf>
    <xf numFmtId="43" fontId="12" fillId="0" borderId="24" xfId="1" applyFont="1" applyFill="1" applyBorder="1" applyAlignment="1">
      <alignment horizontal="left" vertical="top"/>
    </xf>
    <xf numFmtId="0" fontId="12" fillId="0" borderId="20" xfId="0" applyFont="1" applyFill="1" applyBorder="1" applyAlignment="1">
      <alignment horizontal="left" vertical="top"/>
    </xf>
    <xf numFmtId="43" fontId="1" fillId="0" borderId="5" xfId="1" applyFont="1" applyFill="1" applyBorder="1"/>
    <xf numFmtId="43" fontId="1" fillId="0" borderId="0" xfId="1" applyFont="1" applyFill="1" applyBorder="1"/>
    <xf numFmtId="0" fontId="1" fillId="0" borderId="7" xfId="0" applyFont="1" applyFill="1" applyBorder="1"/>
    <xf numFmtId="43" fontId="20" fillId="0" borderId="9" xfId="1" applyFont="1" applyFill="1" applyBorder="1" applyAlignment="1">
      <alignment horizontal="left" vertical="top"/>
    </xf>
    <xf numFmtId="0" fontId="12" fillId="0" borderId="18" xfId="0" applyFont="1" applyFill="1" applyBorder="1" applyAlignment="1">
      <alignment horizontal="center" vertical="top"/>
    </xf>
    <xf numFmtId="0" fontId="20" fillId="0" borderId="4" xfId="0" applyFont="1" applyFill="1" applyBorder="1" applyAlignment="1">
      <alignment vertical="top"/>
    </xf>
    <xf numFmtId="0" fontId="20" fillId="0" borderId="3" xfId="0" applyFont="1" applyFill="1" applyBorder="1" applyAlignment="1">
      <alignment vertical="top"/>
    </xf>
    <xf numFmtId="0" fontId="20" fillId="0" borderId="11" xfId="0" applyFont="1" applyFill="1" applyBorder="1" applyAlignment="1">
      <alignment vertical="top"/>
    </xf>
    <xf numFmtId="0" fontId="20" fillId="0" borderId="5" xfId="0" applyFont="1" applyFill="1" applyBorder="1" applyAlignment="1">
      <alignment horizontal="center" vertical="top"/>
    </xf>
    <xf numFmtId="0" fontId="20" fillId="0" borderId="0" xfId="0" applyFont="1" applyFill="1" applyBorder="1" applyAlignment="1">
      <alignment horizontal="center" vertical="top"/>
    </xf>
    <xf numFmtId="0" fontId="20" fillId="0" borderId="10" xfId="0" applyFont="1" applyFill="1" applyBorder="1" applyAlignment="1">
      <alignment horizontal="center" vertical="top"/>
    </xf>
    <xf numFmtId="0" fontId="20" fillId="0" borderId="2" xfId="0" applyFont="1" applyFill="1" applyBorder="1" applyAlignment="1">
      <alignment horizontal="center" vertical="top"/>
    </xf>
    <xf numFmtId="0" fontId="20" fillId="0" borderId="12" xfId="0" applyFont="1" applyFill="1" applyBorder="1" applyAlignment="1">
      <alignment horizontal="center" vertical="top"/>
    </xf>
    <xf numFmtId="0" fontId="20" fillId="0" borderId="7" xfId="0" applyFont="1" applyFill="1" applyBorder="1" applyAlignment="1">
      <alignment horizontal="center" vertical="top"/>
    </xf>
    <xf numFmtId="0" fontId="12" fillId="0" borderId="25" xfId="0" applyFont="1" applyFill="1" applyBorder="1" applyAlignment="1">
      <alignment vertical="top"/>
    </xf>
    <xf numFmtId="43" fontId="12" fillId="0" borderId="19" xfId="1" applyFont="1" applyFill="1" applyBorder="1" applyAlignment="1">
      <alignment vertical="top"/>
    </xf>
    <xf numFmtId="43" fontId="1" fillId="0" borderId="13" xfId="1" applyFont="1" applyFill="1" applyBorder="1"/>
    <xf numFmtId="0" fontId="20" fillId="0" borderId="20" xfId="0" applyFont="1" applyFill="1" applyBorder="1" applyAlignment="1">
      <alignment vertical="top"/>
    </xf>
    <xf numFmtId="43" fontId="11" fillId="0" borderId="9" xfId="1" applyFont="1" applyFill="1" applyBorder="1"/>
    <xf numFmtId="43" fontId="21" fillId="0" borderId="7" xfId="1" applyFont="1" applyFill="1" applyBorder="1"/>
    <xf numFmtId="43" fontId="22" fillId="0" borderId="20" xfId="1" applyFont="1" applyFill="1" applyBorder="1" applyAlignment="1">
      <alignment horizontal="left" vertical="top"/>
    </xf>
    <xf numFmtId="43" fontId="22" fillId="0" borderId="0" xfId="1" applyFont="1" applyFill="1" applyBorder="1" applyAlignment="1">
      <alignment horizontal="left" vertical="top"/>
    </xf>
    <xf numFmtId="0" fontId="12" fillId="0" borderId="27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/>
    </xf>
    <xf numFmtId="43" fontId="12" fillId="0" borderId="27" xfId="1" applyFont="1" applyFill="1" applyBorder="1" applyAlignment="1">
      <alignment horizontal="left" vertical="top"/>
    </xf>
    <xf numFmtId="43" fontId="12" fillId="0" borderId="1" xfId="1" applyFont="1" applyFill="1" applyBorder="1" applyAlignment="1">
      <alignment horizontal="left" vertical="top"/>
    </xf>
    <xf numFmtId="0" fontId="1" fillId="0" borderId="6" xfId="0" applyFont="1" applyFill="1" applyBorder="1"/>
    <xf numFmtId="0" fontId="1" fillId="0" borderId="1" xfId="0" applyFont="1" applyFill="1" applyBorder="1"/>
    <xf numFmtId="0" fontId="1" fillId="0" borderId="13" xfId="0" applyFont="1" applyFill="1" applyBorder="1"/>
    <xf numFmtId="0" fontId="12" fillId="0" borderId="28" xfId="0" applyFont="1" applyFill="1" applyBorder="1" applyAlignment="1">
      <alignment horizontal="left" vertical="top"/>
    </xf>
    <xf numFmtId="43" fontId="12" fillId="0" borderId="28" xfId="1" applyFont="1" applyFill="1" applyBorder="1" applyAlignment="1">
      <alignment horizontal="left" vertical="top"/>
    </xf>
    <xf numFmtId="43" fontId="1" fillId="0" borderId="0" xfId="1" applyFont="1" applyFill="1" applyAlignment="1"/>
    <xf numFmtId="0" fontId="0" fillId="0" borderId="0" xfId="0" applyAlignment="1">
      <alignment horizontal="left"/>
    </xf>
    <xf numFmtId="0" fontId="0" fillId="0" borderId="0" xfId="0" applyFont="1" applyFill="1" applyAlignment="1"/>
    <xf numFmtId="43" fontId="0" fillId="0" borderId="0" xfId="1" applyFont="1" applyFill="1" applyAlignment="1"/>
    <xf numFmtId="0" fontId="23" fillId="0" borderId="0" xfId="0" applyFont="1" applyFill="1"/>
    <xf numFmtId="0" fontId="23" fillId="0" borderId="29" xfId="0" applyFont="1" applyFill="1" applyBorder="1"/>
    <xf numFmtId="43" fontId="23" fillId="0" borderId="31" xfId="0" applyNumberFormat="1" applyFont="1" applyFill="1" applyBorder="1"/>
    <xf numFmtId="0" fontId="23" fillId="0" borderId="31" xfId="0" applyFont="1" applyFill="1" applyBorder="1"/>
    <xf numFmtId="0" fontId="23" fillId="0" borderId="32" xfId="0" applyFont="1" applyFill="1" applyBorder="1"/>
    <xf numFmtId="0" fontId="23" fillId="0" borderId="30" xfId="0" applyFont="1" applyFill="1" applyBorder="1"/>
    <xf numFmtId="0" fontId="11" fillId="0" borderId="0" xfId="0" applyFont="1" applyFill="1" applyBorder="1"/>
    <xf numFmtId="0" fontId="7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horizontal="center" vertical="top"/>
    </xf>
    <xf numFmtId="0" fontId="26" fillId="0" borderId="32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3" fillId="0" borderId="29" xfId="0" applyFont="1" applyFill="1" applyBorder="1" applyAlignment="1">
      <alignment horizontal="center" vertical="top"/>
    </xf>
    <xf numFmtId="0" fontId="3" fillId="0" borderId="31" xfId="0" applyFont="1" applyFill="1" applyBorder="1" applyAlignment="1">
      <alignment horizontal="left" vertical="top"/>
    </xf>
    <xf numFmtId="43" fontId="3" fillId="0" borderId="31" xfId="1" applyFont="1" applyFill="1" applyBorder="1" applyAlignment="1">
      <alignment horizontal="left" vertical="top"/>
    </xf>
    <xf numFmtId="0" fontId="1" fillId="0" borderId="31" xfId="0" applyFont="1" applyFill="1" applyBorder="1"/>
    <xf numFmtId="0" fontId="14" fillId="0" borderId="31" xfId="0" applyFont="1" applyFill="1" applyBorder="1"/>
    <xf numFmtId="43" fontId="1" fillId="0" borderId="0" xfId="0" applyNumberFormat="1" applyFont="1" applyFill="1" applyBorder="1"/>
    <xf numFmtId="43" fontId="14" fillId="0" borderId="31" xfId="1" applyFont="1" applyFill="1" applyBorder="1"/>
    <xf numFmtId="43" fontId="3" fillId="0" borderId="30" xfId="1" applyFont="1" applyFill="1" applyBorder="1" applyAlignment="1">
      <alignment horizontal="left" vertical="top"/>
    </xf>
    <xf numFmtId="43" fontId="26" fillId="0" borderId="0" xfId="1" applyFont="1" applyFill="1" applyBorder="1" applyAlignment="1">
      <alignment horizontal="left" vertical="top"/>
    </xf>
    <xf numFmtId="43" fontId="26" fillId="0" borderId="33" xfId="1" applyFont="1" applyFill="1" applyBorder="1" applyAlignment="1">
      <alignment horizontal="left" vertical="top"/>
    </xf>
    <xf numFmtId="0" fontId="27" fillId="0" borderId="30" xfId="0" applyFont="1" applyFill="1" applyBorder="1" applyAlignment="1">
      <alignment horizontal="left"/>
    </xf>
    <xf numFmtId="43" fontId="28" fillId="0" borderId="0" xfId="1" applyFont="1" applyFill="1" applyBorder="1" applyAlignment="1"/>
    <xf numFmtId="43" fontId="29" fillId="0" borderId="0" xfId="1" applyFont="1" applyFill="1" applyBorder="1" applyAlignment="1"/>
    <xf numFmtId="0" fontId="29" fillId="0" borderId="30" xfId="0" applyFont="1" applyFill="1" applyBorder="1"/>
    <xf numFmtId="43" fontId="28" fillId="0" borderId="30" xfId="1" applyFont="1" applyFill="1" applyBorder="1" applyAlignment="1"/>
    <xf numFmtId="43" fontId="0" fillId="0" borderId="0" xfId="0" applyNumberFormat="1" applyFill="1" applyBorder="1"/>
    <xf numFmtId="17" fontId="0" fillId="0" borderId="5" xfId="0" quotePrefix="1" applyNumberFormat="1" applyBorder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5" fillId="0" borderId="0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top"/>
    </xf>
    <xf numFmtId="0" fontId="19" fillId="0" borderId="0" xfId="0" applyFont="1" applyFill="1" applyBorder="1" applyAlignment="1">
      <alignment horizontal="center" vertical="top"/>
    </xf>
    <xf numFmtId="0" fontId="20" fillId="0" borderId="2" xfId="0" applyFont="1" applyFill="1" applyBorder="1" applyAlignment="1">
      <alignment horizontal="center" vertical="top"/>
    </xf>
    <xf numFmtId="0" fontId="20" fillId="0" borderId="4" xfId="0" applyFont="1" applyFill="1" applyBorder="1" applyAlignment="1">
      <alignment horizontal="center" vertical="top"/>
    </xf>
    <xf numFmtId="0" fontId="20" fillId="0" borderId="3" xfId="0" applyFont="1" applyFill="1" applyBorder="1" applyAlignment="1">
      <alignment horizontal="center" vertical="top"/>
    </xf>
    <xf numFmtId="0" fontId="20" fillId="0" borderId="11" xfId="0" applyFont="1" applyFill="1" applyBorder="1" applyAlignment="1">
      <alignment horizontal="center" vertical="top"/>
    </xf>
    <xf numFmtId="0" fontId="26" fillId="0" borderId="4" xfId="0" applyFont="1" applyFill="1" applyBorder="1" applyAlignment="1">
      <alignment horizontal="center" vertical="top"/>
    </xf>
    <xf numFmtId="0" fontId="26" fillId="0" borderId="11" xfId="0" applyFont="1" applyFill="1" applyBorder="1" applyAlignment="1">
      <alignment horizontal="center" vertical="top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top"/>
    </xf>
    <xf numFmtId="0" fontId="1" fillId="0" borderId="3" xfId="0" applyFont="1" applyFill="1" applyBorder="1"/>
    <xf numFmtId="0" fontId="20" fillId="0" borderId="23" xfId="0" applyFont="1" applyFill="1" applyBorder="1" applyAlignment="1">
      <alignment horizontal="center" vertical="top"/>
    </xf>
    <xf numFmtId="0" fontId="20" fillId="0" borderId="25" xfId="0" applyFont="1" applyFill="1" applyBorder="1" applyAlignment="1">
      <alignment horizontal="center" vertical="top"/>
    </xf>
    <xf numFmtId="0" fontId="20" fillId="0" borderId="26" xfId="0" applyFont="1" applyFill="1" applyBorder="1" applyAlignment="1">
      <alignment horizontal="center" vertical="top"/>
    </xf>
    <xf numFmtId="0" fontId="20" fillId="0" borderId="18" xfId="0" applyFont="1" applyFill="1" applyBorder="1" applyAlignment="1">
      <alignment horizontal="center" vertical="top"/>
    </xf>
    <xf numFmtId="0" fontId="24" fillId="0" borderId="29" xfId="0" applyFont="1" applyFill="1" applyBorder="1" applyAlignment="1">
      <alignment horizontal="center" vertical="center"/>
    </xf>
    <xf numFmtId="0" fontId="24" fillId="0" borderId="3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top"/>
    </xf>
    <xf numFmtId="0" fontId="6" fillId="0" borderId="7" xfId="0" applyFont="1" applyFill="1" applyBorder="1" applyAlignment="1">
      <alignment horizontal="center" vertical="top"/>
    </xf>
    <xf numFmtId="0" fontId="7" fillId="0" borderId="7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0" fontId="8" fillId="0" borderId="7" xfId="0" applyFont="1" applyFill="1" applyBorder="1" applyAlignment="1">
      <alignment horizontal="center" vertical="top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43" fontId="9" fillId="0" borderId="4" xfId="1" applyFont="1" applyFill="1" applyBorder="1" applyAlignment="1">
      <alignment horizontal="center"/>
    </xf>
    <xf numFmtId="43" fontId="9" fillId="0" borderId="3" xfId="1" applyFont="1" applyFill="1" applyBorder="1" applyAlignment="1">
      <alignment horizontal="center"/>
    </xf>
    <xf numFmtId="43" fontId="9" fillId="0" borderId="1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43" fontId="1" fillId="0" borderId="0" xfId="0" applyNumberFormat="1" applyFont="1" applyFill="1"/>
    <xf numFmtId="43" fontId="0" fillId="0" borderId="0" xfId="0" applyNumberFormat="1" applyFont="1" applyBorder="1"/>
    <xf numFmtId="43" fontId="1" fillId="0" borderId="1" xfId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SSUser/Desktop/FAITH/PERSONAL/E&amp;G/fs-2015%20-for%20bi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&amp;G%20-Reports/Financial%20Report/fs%20-%20Dumm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b"/>
      <sheetName val="bs"/>
      <sheetName val="IS"/>
      <sheetName val="-"/>
      <sheetName val="Asset-C"/>
      <sheetName val="Payables-C"/>
      <sheetName val="Income &amp; Expense-C"/>
      <sheetName val="Equity-C"/>
    </sheetNames>
    <sheetDataSet>
      <sheetData sheetId="0">
        <row r="32">
          <cell r="A32" t="str">
            <v>Salaries and Wages</v>
          </cell>
        </row>
        <row r="33">
          <cell r="A33" t="str">
            <v>Sales Commission</v>
          </cell>
        </row>
        <row r="38">
          <cell r="A38" t="str">
            <v>Fuel and Lubricants</v>
          </cell>
        </row>
        <row r="41">
          <cell r="A41" t="str">
            <v>Power, Light and Water</v>
          </cell>
        </row>
        <row r="42">
          <cell r="A42" t="str">
            <v>Postage,Telephone and Cable Exp.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b"/>
      <sheetName val="bs"/>
      <sheetName val="IS"/>
      <sheetName val="COGM"/>
      <sheetName val="-"/>
      <sheetName val="IS (2)"/>
      <sheetName val="COGM (2)"/>
      <sheetName val="--"/>
      <sheetName val="Sheet2"/>
      <sheetName val="Sheet3"/>
    </sheetNames>
    <sheetDataSet>
      <sheetData sheetId="0" refreshError="1">
        <row r="11">
          <cell r="A11" t="str">
            <v>Materials Inventory</v>
          </cell>
        </row>
        <row r="12">
          <cell r="A12" t="str">
            <v>Finished Goods Inventory</v>
          </cell>
        </row>
        <row r="13">
          <cell r="A13" t="str">
            <v>Merchandise Inventory</v>
          </cell>
        </row>
        <row r="14">
          <cell r="A14" t="str">
            <v>Accounts Receivable</v>
          </cell>
        </row>
        <row r="15">
          <cell r="A15" t="str">
            <v>Land and Building</v>
          </cell>
        </row>
        <row r="16">
          <cell r="A16" t="str">
            <v>Transportation Equipment</v>
          </cell>
        </row>
        <row r="17">
          <cell r="A17" t="str">
            <v>Office Equipment</v>
          </cell>
        </row>
        <row r="18">
          <cell r="A18" t="str">
            <v>Accum. Depreciation - TE</v>
          </cell>
        </row>
        <row r="19">
          <cell r="A19" t="str">
            <v>Accum. Depreciation - OE</v>
          </cell>
        </row>
        <row r="20">
          <cell r="A20" t="str">
            <v>Accum. Depreciation - Bldg</v>
          </cell>
        </row>
        <row r="21">
          <cell r="A21" t="str">
            <v>Accounts Payable</v>
          </cell>
        </row>
        <row r="22">
          <cell r="A22" t="str">
            <v>Loans Payable - Short Term</v>
          </cell>
        </row>
        <row r="24">
          <cell r="A24" t="str">
            <v>EG, Capital</v>
          </cell>
        </row>
        <row r="25">
          <cell r="A25" t="str">
            <v>EG, Withdrawal</v>
          </cell>
        </row>
        <row r="26">
          <cell r="A26" t="str">
            <v>Retained Earnings</v>
          </cell>
        </row>
        <row r="27">
          <cell r="A27" t="str">
            <v>Sales</v>
          </cell>
        </row>
        <row r="28">
          <cell r="A28" t="str">
            <v>Sales Returns &amp; Allowances</v>
          </cell>
        </row>
        <row r="29">
          <cell r="A29" t="str">
            <v>Sales Discount</v>
          </cell>
        </row>
        <row r="32">
          <cell r="A32" t="str">
            <v>Sales Commission</v>
          </cell>
        </row>
        <row r="34">
          <cell r="A34" t="str">
            <v>Depreciation Exp - TE</v>
          </cell>
        </row>
        <row r="35">
          <cell r="A35" t="str">
            <v>Depreciation Exp - OE</v>
          </cell>
        </row>
        <row r="36">
          <cell r="A36" t="str">
            <v>Depreciation Exp - Bldg</v>
          </cell>
        </row>
        <row r="37">
          <cell r="A37" t="str">
            <v>Fuel and Lubricants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view="pageBreakPreview" zoomScaleNormal="100" zoomScaleSheetLayoutView="100" workbookViewId="0">
      <selection activeCell="E16" sqref="E16"/>
    </sheetView>
  </sheetViews>
  <sheetFormatPr defaultColWidth="9.140625" defaultRowHeight="15"/>
  <cols>
    <col min="1" max="1" width="33.5703125" style="47" customWidth="1"/>
    <col min="2" max="2" width="15.42578125" style="84" hidden="1" customWidth="1"/>
    <col min="3" max="3" width="14.28515625" style="84" hidden="1" customWidth="1"/>
    <col min="4" max="4" width="2.42578125" style="84" hidden="1" customWidth="1"/>
    <col min="5" max="5" width="22.7109375" style="47" customWidth="1"/>
    <col min="6" max="6" width="21.7109375" style="47" customWidth="1"/>
    <col min="7" max="7" width="18.85546875" style="47" customWidth="1"/>
    <col min="8" max="8" width="12.85546875" style="47" customWidth="1"/>
    <col min="9" max="9" width="14" style="47" customWidth="1"/>
    <col min="10" max="10" width="12.85546875" style="47" customWidth="1"/>
    <col min="11" max="11" width="9.7109375" style="47" customWidth="1"/>
    <col min="12" max="12" width="14.7109375" style="47" customWidth="1"/>
    <col min="13" max="15" width="12.85546875" style="47" customWidth="1"/>
    <col min="16" max="17" width="9.140625" style="47"/>
    <col min="18" max="18" width="12.85546875" style="47" customWidth="1"/>
    <col min="19" max="19" width="13.7109375" style="47" customWidth="1"/>
    <col min="20" max="16384" width="9.140625" style="47"/>
  </cols>
  <sheetData>
    <row r="1" spans="1:19" s="67" customFormat="1" ht="18.75" customHeight="1">
      <c r="A1" s="192" t="s">
        <v>0</v>
      </c>
      <c r="B1" s="192"/>
      <c r="C1" s="192"/>
      <c r="D1" s="192"/>
      <c r="E1" s="192"/>
      <c r="F1" s="192"/>
      <c r="G1" s="46"/>
      <c r="H1" s="46"/>
      <c r="I1" s="46"/>
      <c r="J1" s="46"/>
      <c r="L1" s="121"/>
    </row>
    <row r="2" spans="1:19" s="67" customFormat="1" ht="18.75" customHeight="1">
      <c r="A2" s="193" t="s">
        <v>1</v>
      </c>
      <c r="B2" s="193"/>
      <c r="C2" s="193"/>
      <c r="D2" s="193"/>
      <c r="E2" s="193"/>
      <c r="F2" s="193"/>
      <c r="G2" s="46"/>
      <c r="H2" s="46"/>
      <c r="I2" s="46"/>
      <c r="J2" s="46"/>
      <c r="L2" s="121"/>
    </row>
    <row r="3" spans="1:19" s="67" customFormat="1" ht="18.75" customHeight="1">
      <c r="A3" s="44"/>
      <c r="B3" s="44"/>
      <c r="C3" s="44"/>
      <c r="D3" s="44"/>
      <c r="E3" s="44"/>
      <c r="F3" s="44"/>
      <c r="G3" s="46"/>
      <c r="H3" s="46"/>
      <c r="I3" s="46"/>
      <c r="J3" s="46"/>
      <c r="L3" s="121"/>
    </row>
    <row r="4" spans="1:19" s="67" customFormat="1" ht="18.75" customHeight="1">
      <c r="A4" s="194" t="s">
        <v>2</v>
      </c>
      <c r="B4" s="194"/>
      <c r="C4" s="194"/>
      <c r="D4" s="194"/>
      <c r="E4" s="194"/>
      <c r="F4" s="194"/>
      <c r="G4" s="170"/>
      <c r="H4" s="170"/>
      <c r="I4" s="170"/>
      <c r="J4" s="170"/>
      <c r="L4" s="121"/>
    </row>
    <row r="5" spans="1:19" s="67" customFormat="1" ht="17.25" customHeight="1">
      <c r="A5" s="195" t="s">
        <v>110</v>
      </c>
      <c r="B5" s="195"/>
      <c r="C5" s="195"/>
      <c r="D5" s="195"/>
      <c r="E5" s="195"/>
      <c r="F5" s="195"/>
      <c r="G5" s="171"/>
      <c r="H5" s="171"/>
      <c r="I5" s="171"/>
      <c r="J5" s="171"/>
      <c r="L5" s="121"/>
    </row>
    <row r="6" spans="1:19" s="67" customFormat="1" ht="17.25" customHeight="1">
      <c r="A6" s="48"/>
      <c r="B6" s="48"/>
      <c r="C6" s="48"/>
      <c r="D6" s="48"/>
      <c r="E6" s="48"/>
      <c r="F6" s="48"/>
      <c r="G6" s="48"/>
      <c r="H6" s="48"/>
      <c r="I6" s="48"/>
      <c r="J6" s="48"/>
    </row>
    <row r="7" spans="1:19" s="169" customFormat="1" ht="17.25" customHeight="1">
      <c r="A7" s="202" t="s">
        <v>3</v>
      </c>
      <c r="B7" s="196" t="s">
        <v>4</v>
      </c>
      <c r="C7" s="196"/>
      <c r="D7" s="197" t="s">
        <v>5</v>
      </c>
      <c r="E7" s="198"/>
      <c r="F7" s="199"/>
      <c r="G7" s="137"/>
      <c r="H7" s="137"/>
      <c r="I7" s="137"/>
      <c r="J7" s="137"/>
    </row>
    <row r="8" spans="1:19" s="121" customFormat="1" ht="17.25" customHeight="1">
      <c r="A8" s="203"/>
      <c r="B8" s="172" t="s">
        <v>6</v>
      </c>
      <c r="C8" s="172" t="s">
        <v>7</v>
      </c>
      <c r="D8" s="200" t="s">
        <v>6</v>
      </c>
      <c r="E8" s="201"/>
      <c r="F8" s="173" t="s">
        <v>7</v>
      </c>
      <c r="G8" s="174"/>
      <c r="H8" s="174"/>
      <c r="I8" s="174"/>
      <c r="J8" s="174"/>
    </row>
    <row r="9" spans="1:19" s="121" customFormat="1" ht="17.25" customHeight="1">
      <c r="A9" s="175"/>
      <c r="B9" s="174"/>
      <c r="C9" s="174"/>
      <c r="D9" s="174"/>
      <c r="E9" s="175"/>
      <c r="F9" s="175"/>
      <c r="G9" s="174"/>
      <c r="H9" s="174"/>
      <c r="I9" s="174"/>
      <c r="J9" s="174"/>
    </row>
    <row r="10" spans="1:19" s="121" customFormat="1">
      <c r="A10" s="176" t="s">
        <v>8</v>
      </c>
      <c r="B10" s="28"/>
      <c r="C10" s="28"/>
      <c r="D10" s="28"/>
      <c r="E10" s="177">
        <f>400054-26272.13+100000</f>
        <v>473781.87</v>
      </c>
      <c r="F10" s="177"/>
      <c r="I10" s="180"/>
      <c r="J10" s="180"/>
    </row>
    <row r="11" spans="1:19" s="121" customFormat="1">
      <c r="A11" s="176" t="s">
        <v>9</v>
      </c>
      <c r="B11" s="28"/>
      <c r="C11" s="28"/>
      <c r="D11" s="28"/>
      <c r="E11" s="177">
        <f>324523.08+30253</f>
        <v>354776.08</v>
      </c>
      <c r="F11" s="177"/>
      <c r="M11" s="180"/>
      <c r="P11" s="25"/>
      <c r="R11" s="180" t="e">
        <f>+M15-N22-#REF!+#REF!+M35</f>
        <v>#REF!</v>
      </c>
    </row>
    <row r="12" spans="1:19" s="121" customFormat="1" hidden="1">
      <c r="A12" s="176" t="s">
        <v>10</v>
      </c>
      <c r="B12" s="28"/>
      <c r="C12" s="28"/>
      <c r="D12" s="28"/>
      <c r="E12" s="177">
        <f>'Asset-C'!C234</f>
        <v>0</v>
      </c>
      <c r="F12" s="177"/>
      <c r="M12" s="180"/>
      <c r="N12" s="180"/>
      <c r="S12" s="180">
        <f>+N19+N26-M32</f>
        <v>0</v>
      </c>
    </row>
    <row r="13" spans="1:19" s="121" customFormat="1" hidden="1">
      <c r="A13" s="176" t="s">
        <v>11</v>
      </c>
      <c r="B13" s="28"/>
      <c r="C13" s="28"/>
      <c r="D13" s="28"/>
      <c r="E13" s="177"/>
      <c r="F13" s="177"/>
      <c r="L13" s="25"/>
      <c r="N13" s="180"/>
      <c r="R13" s="180" t="e">
        <f>+M21-#REF!-N36</f>
        <v>#REF!</v>
      </c>
    </row>
    <row r="14" spans="1:19" s="121" customFormat="1">
      <c r="A14" s="176" t="s">
        <v>12</v>
      </c>
      <c r="B14" s="28"/>
      <c r="C14" s="28"/>
      <c r="D14" s="28"/>
      <c r="E14" s="177">
        <f>188623.8+25000+60000</f>
        <v>273623.8</v>
      </c>
      <c r="F14" s="177"/>
      <c r="M14" s="180"/>
      <c r="R14" s="180">
        <f>+M28</f>
        <v>0</v>
      </c>
    </row>
    <row r="15" spans="1:19" s="121" customFormat="1" hidden="1">
      <c r="A15" s="176" t="s">
        <v>13</v>
      </c>
      <c r="B15" s="28"/>
      <c r="C15" s="28"/>
      <c r="D15" s="28"/>
      <c r="E15" s="177"/>
      <c r="F15" s="177"/>
      <c r="K15" s="25"/>
      <c r="M15" s="180"/>
      <c r="N15" s="180"/>
      <c r="R15" s="180" t="e">
        <f>+M18+M25-#REF!-N16+M31-N33</f>
        <v>#REF!</v>
      </c>
    </row>
    <row r="16" spans="1:19" s="121" customFormat="1">
      <c r="A16" s="176" t="s">
        <v>14</v>
      </c>
      <c r="B16" s="28"/>
      <c r="C16" s="28"/>
      <c r="D16" s="28"/>
      <c r="E16" s="177">
        <v>480000</v>
      </c>
      <c r="F16" s="177"/>
      <c r="N16" s="180"/>
      <c r="R16" s="129" t="e">
        <f>SUM(R11:R15)</f>
        <v>#REF!</v>
      </c>
      <c r="S16" s="129">
        <f>SUM(S11:S15)</f>
        <v>0</v>
      </c>
    </row>
    <row r="17" spans="1:18" s="121" customFormat="1">
      <c r="A17" s="176" t="s">
        <v>15</v>
      </c>
      <c r="B17" s="28"/>
      <c r="D17" s="28"/>
      <c r="E17" s="177">
        <v>56000</v>
      </c>
      <c r="F17" s="178"/>
      <c r="R17" s="180" t="e">
        <f>+R16-S16</f>
        <v>#REF!</v>
      </c>
    </row>
    <row r="18" spans="1:18" s="121" customFormat="1">
      <c r="A18" s="176" t="s">
        <v>16</v>
      </c>
      <c r="B18" s="28"/>
      <c r="C18" s="28"/>
      <c r="D18" s="28"/>
      <c r="E18" s="177"/>
      <c r="F18" s="177">
        <f>168258.77+16253.3</f>
        <v>184512.06999999998</v>
      </c>
      <c r="M18" s="180"/>
    </row>
    <row r="19" spans="1:18" s="121" customFormat="1">
      <c r="A19" s="176" t="s">
        <v>17</v>
      </c>
      <c r="B19" s="28"/>
      <c r="C19" s="28"/>
      <c r="D19" s="28"/>
      <c r="E19" s="177"/>
      <c r="F19" s="177">
        <f>33525.22+5223.2</f>
        <v>38748.42</v>
      </c>
      <c r="N19" s="180"/>
    </row>
    <row r="20" spans="1:18" s="121" customFormat="1" hidden="1">
      <c r="A20" s="176" t="s">
        <v>18</v>
      </c>
      <c r="B20" s="28"/>
      <c r="C20" s="28"/>
      <c r="D20" s="28"/>
      <c r="E20" s="177"/>
      <c r="F20" s="177"/>
      <c r="N20" s="180"/>
    </row>
    <row r="21" spans="1:18" s="121" customFormat="1" hidden="1">
      <c r="A21" s="176" t="s">
        <v>19</v>
      </c>
      <c r="B21" s="28"/>
      <c r="C21" s="28"/>
      <c r="D21" s="28"/>
      <c r="E21" s="177"/>
      <c r="F21" s="177">
        <v>0</v>
      </c>
      <c r="M21" s="180"/>
      <c r="O21" s="180"/>
    </row>
    <row r="22" spans="1:18" s="121" customFormat="1">
      <c r="A22" s="176" t="s">
        <v>20</v>
      </c>
      <c r="B22" s="28"/>
      <c r="C22" s="28"/>
      <c r="D22" s="28"/>
      <c r="E22" s="177"/>
      <c r="F22" s="177">
        <f>328223.2-81741.6+15359.75</f>
        <v>261841.35</v>
      </c>
      <c r="L22" s="25"/>
      <c r="N22" s="180"/>
    </row>
    <row r="23" spans="1:18" s="121" customFormat="1" hidden="1">
      <c r="A23" s="176" t="s">
        <v>21</v>
      </c>
      <c r="B23" s="28"/>
      <c r="C23" s="28"/>
      <c r="D23" s="28"/>
      <c r="E23" s="177"/>
      <c r="F23" s="177">
        <v>0</v>
      </c>
      <c r="N23" s="180"/>
    </row>
    <row r="24" spans="1:18" s="121" customFormat="1">
      <c r="A24" s="176" t="s">
        <v>22</v>
      </c>
      <c r="B24" s="28"/>
      <c r="C24" s="28"/>
      <c r="D24" s="28"/>
      <c r="E24" s="177"/>
      <c r="F24" s="177">
        <f>'Payables-C'!F56</f>
        <v>8232.58</v>
      </c>
      <c r="N24" s="180"/>
    </row>
    <row r="25" spans="1:18" s="121" customFormat="1">
      <c r="A25" s="179" t="s">
        <v>23</v>
      </c>
      <c r="B25" s="28"/>
      <c r="C25" s="28"/>
      <c r="D25" s="28"/>
      <c r="E25" s="177"/>
      <c r="F25" s="177">
        <v>500000</v>
      </c>
      <c r="M25" s="129"/>
      <c r="O25" s="180"/>
    </row>
    <row r="26" spans="1:18" s="121" customFormat="1">
      <c r="A26" s="179" t="s">
        <v>24</v>
      </c>
      <c r="B26" s="28"/>
      <c r="C26" s="28"/>
      <c r="D26" s="28"/>
      <c r="E26" s="177">
        <v>325885</v>
      </c>
      <c r="F26" s="177"/>
      <c r="I26" s="180"/>
      <c r="J26" s="180"/>
      <c r="N26" s="180"/>
    </row>
    <row r="27" spans="1:18" s="121" customFormat="1">
      <c r="A27" s="176" t="s">
        <v>25</v>
      </c>
      <c r="B27" s="28"/>
      <c r="C27" s="28"/>
      <c r="D27" s="28"/>
      <c r="E27" s="177"/>
      <c r="F27" s="177">
        <v>525103.38</v>
      </c>
      <c r="I27" s="180"/>
      <c r="J27" s="180"/>
      <c r="N27" s="180"/>
    </row>
    <row r="28" spans="1:18" s="121" customFormat="1">
      <c r="A28" s="176" t="s">
        <v>26</v>
      </c>
      <c r="B28" s="28"/>
      <c r="C28" s="28"/>
      <c r="D28" s="28"/>
      <c r="E28" s="177"/>
      <c r="F28" s="177">
        <f>1652436+253+160000</f>
        <v>1812689</v>
      </c>
      <c r="G28" s="180">
        <f>+F28-E31</f>
        <v>1112430.75</v>
      </c>
      <c r="H28" s="180"/>
      <c r="M28" s="129"/>
      <c r="O28" s="180"/>
    </row>
    <row r="29" spans="1:18" s="121" customFormat="1" hidden="1">
      <c r="A29" s="176" t="s">
        <v>27</v>
      </c>
      <c r="B29" s="28"/>
      <c r="C29" s="28"/>
      <c r="D29" s="28"/>
      <c r="E29" s="177">
        <f>'Income &amp; Expense-C'!C49</f>
        <v>0</v>
      </c>
      <c r="F29" s="178"/>
      <c r="H29" s="180"/>
      <c r="I29" s="180"/>
      <c r="J29" s="180"/>
      <c r="N29" s="129"/>
    </row>
    <row r="30" spans="1:18" s="121" customFormat="1" hidden="1">
      <c r="A30" s="176" t="s">
        <v>28</v>
      </c>
      <c r="B30" s="28"/>
      <c r="C30" s="28"/>
      <c r="D30" s="28"/>
      <c r="E30" s="177">
        <f>'Income &amp; Expense-C'!C62</f>
        <v>0</v>
      </c>
      <c r="F30" s="178"/>
      <c r="H30" s="180"/>
      <c r="I30" s="180"/>
      <c r="J30" s="180"/>
    </row>
    <row r="31" spans="1:18" s="121" customFormat="1">
      <c r="A31" s="176" t="s">
        <v>29</v>
      </c>
      <c r="B31" s="28"/>
      <c r="C31" s="28"/>
      <c r="D31" s="28"/>
      <c r="E31" s="177">
        <v>700258.25</v>
      </c>
      <c r="F31" s="181"/>
      <c r="G31" s="180">
        <f>+F28-E31</f>
        <v>1112430.75</v>
      </c>
      <c r="H31" s="180">
        <f>+F28-G31</f>
        <v>700258.25</v>
      </c>
      <c r="I31" s="180"/>
      <c r="J31" s="180"/>
      <c r="M31" s="180"/>
    </row>
    <row r="32" spans="1:18" s="121" customFormat="1">
      <c r="A32" s="176" t="s">
        <v>30</v>
      </c>
      <c r="B32" s="28"/>
      <c r="C32" s="28"/>
      <c r="D32" s="28"/>
      <c r="E32" s="177">
        <v>160258</v>
      </c>
      <c r="F32" s="177"/>
      <c r="H32" s="180">
        <f>+F28-H31</f>
        <v>1112430.75</v>
      </c>
      <c r="M32" s="180"/>
    </row>
    <row r="33" spans="1:14" s="121" customFormat="1">
      <c r="A33" s="176" t="s">
        <v>31</v>
      </c>
      <c r="B33" s="28"/>
      <c r="C33" s="28"/>
      <c r="D33" s="28"/>
      <c r="E33" s="177">
        <v>96000</v>
      </c>
      <c r="F33" s="177"/>
      <c r="H33" s="180">
        <f>+H32-G42</f>
        <v>445628.94999999995</v>
      </c>
      <c r="N33" s="180"/>
    </row>
    <row r="34" spans="1:14" s="121" customFormat="1" hidden="1">
      <c r="A34" s="176" t="s">
        <v>32</v>
      </c>
      <c r="B34" s="28"/>
      <c r="C34" s="28"/>
      <c r="D34" s="28"/>
      <c r="E34" s="177">
        <v>0</v>
      </c>
      <c r="F34" s="177"/>
    </row>
    <row r="35" spans="1:14" s="121" customFormat="1">
      <c r="A35" s="176" t="s">
        <v>33</v>
      </c>
      <c r="B35" s="28"/>
      <c r="C35" s="28"/>
      <c r="D35" s="28"/>
      <c r="E35" s="177">
        <v>16253.3</v>
      </c>
      <c r="F35" s="177"/>
      <c r="K35" s="25"/>
      <c r="M35" s="180"/>
    </row>
    <row r="36" spans="1:14" s="121" customFormat="1">
      <c r="A36" s="176" t="s">
        <v>34</v>
      </c>
      <c r="B36" s="28"/>
      <c r="C36" s="28"/>
      <c r="D36" s="28"/>
      <c r="E36" s="177">
        <v>5223.2</v>
      </c>
      <c r="F36" s="177"/>
      <c r="N36" s="180"/>
    </row>
    <row r="37" spans="1:14" s="121" customFormat="1" hidden="1">
      <c r="A37" s="176" t="s">
        <v>35</v>
      </c>
      <c r="B37" s="28"/>
      <c r="C37" s="28"/>
      <c r="D37" s="28"/>
      <c r="E37" s="177">
        <v>0</v>
      </c>
      <c r="F37" s="177"/>
    </row>
    <row r="38" spans="1:14" s="121" customFormat="1">
      <c r="A38" s="176" t="s">
        <v>36</v>
      </c>
      <c r="B38" s="28"/>
      <c r="C38" s="28"/>
      <c r="D38" s="28"/>
      <c r="E38" s="177">
        <v>180118</v>
      </c>
      <c r="F38" s="177"/>
    </row>
    <row r="39" spans="1:14" s="121" customFormat="1">
      <c r="A39" s="176" t="s">
        <v>37</v>
      </c>
      <c r="B39" s="28"/>
      <c r="C39" s="28"/>
      <c r="D39" s="28"/>
      <c r="E39" s="177">
        <v>45625.3</v>
      </c>
      <c r="F39" s="177"/>
    </row>
    <row r="40" spans="1:14" s="121" customFormat="1" hidden="1">
      <c r="A40" s="176" t="s">
        <v>38</v>
      </c>
      <c r="B40" s="28"/>
      <c r="C40" s="28"/>
      <c r="D40" s="28"/>
      <c r="E40" s="177"/>
      <c r="F40" s="177"/>
    </row>
    <row r="41" spans="1:14" s="121" customFormat="1">
      <c r="A41" s="176" t="s">
        <v>39</v>
      </c>
      <c r="B41" s="28"/>
      <c r="C41" s="28"/>
      <c r="D41" s="28"/>
      <c r="E41" s="177">
        <v>90000</v>
      </c>
      <c r="F41" s="177"/>
    </row>
    <row r="42" spans="1:14" s="121" customFormat="1">
      <c r="A42" s="176" t="s">
        <v>40</v>
      </c>
      <c r="B42" s="28"/>
      <c r="C42" s="28"/>
      <c r="D42" s="28"/>
      <c r="E42" s="177">
        <v>15000</v>
      </c>
      <c r="F42" s="177"/>
      <c r="G42" s="121">
        <f>+E32+E33+E38+E39+E41+E42+E43+E35+E36</f>
        <v>666801.80000000005</v>
      </c>
    </row>
    <row r="43" spans="1:14" s="121" customFormat="1">
      <c r="A43" s="176" t="s">
        <v>41</v>
      </c>
      <c r="B43" s="28"/>
      <c r="C43" s="28"/>
      <c r="D43" s="28"/>
      <c r="E43" s="177">
        <v>58324</v>
      </c>
      <c r="F43" s="177"/>
    </row>
    <row r="44" spans="1:14" s="121" customFormat="1" hidden="1">
      <c r="A44" s="176" t="s">
        <v>42</v>
      </c>
      <c r="B44" s="28"/>
      <c r="C44" s="28"/>
      <c r="D44" s="28"/>
      <c r="E44" s="177"/>
      <c r="F44" s="177"/>
    </row>
    <row r="45" spans="1:14" s="121" customFormat="1" hidden="1">
      <c r="A45" s="176" t="s">
        <v>43</v>
      </c>
      <c r="B45" s="28"/>
      <c r="C45" s="28"/>
      <c r="D45" s="28"/>
      <c r="E45" s="177"/>
      <c r="F45" s="177"/>
    </row>
    <row r="46" spans="1:14" s="121" customFormat="1" hidden="1">
      <c r="A46" s="176" t="s">
        <v>44</v>
      </c>
      <c r="B46" s="28"/>
      <c r="C46" s="28"/>
      <c r="D46" s="28"/>
      <c r="E46" s="177">
        <f>'Income &amp; Expense-C'!C421</f>
        <v>0</v>
      </c>
      <c r="F46" s="177"/>
    </row>
    <row r="47" spans="1:14" s="121" customFormat="1" hidden="1">
      <c r="A47" s="176" t="str">
        <f>'Income &amp; Expense-C'!A425:F425</f>
        <v>Service Charge</v>
      </c>
      <c r="B47" s="28"/>
      <c r="C47" s="28"/>
      <c r="D47" s="28"/>
      <c r="E47" s="177">
        <v>0</v>
      </c>
      <c r="F47" s="177"/>
    </row>
    <row r="48" spans="1:14" s="121" customFormat="1" hidden="1">
      <c r="A48" s="176" t="str">
        <f>'Income &amp; Expense-C'!A447:F447</f>
        <v>Insurance Expense</v>
      </c>
      <c r="B48" s="28"/>
      <c r="C48" s="28"/>
      <c r="D48" s="28"/>
      <c r="E48" s="177">
        <f>'Income &amp; Expense-C'!C458</f>
        <v>0</v>
      </c>
      <c r="F48" s="177"/>
    </row>
    <row r="49" spans="1:10" s="121" customFormat="1" hidden="1">
      <c r="A49" s="176" t="s">
        <v>45</v>
      </c>
      <c r="B49" s="28"/>
      <c r="C49" s="28"/>
      <c r="D49" s="28"/>
      <c r="E49" s="177">
        <f>'Income &amp; Expense-C'!C472</f>
        <v>0</v>
      </c>
      <c r="F49" s="177"/>
    </row>
    <row r="50" spans="1:10" s="121" customFormat="1" ht="15.75" customHeight="1">
      <c r="A50" s="176"/>
      <c r="B50" s="28"/>
      <c r="C50" s="28"/>
      <c r="D50" s="28"/>
      <c r="E50" s="182"/>
      <c r="F50" s="182"/>
    </row>
    <row r="51" spans="1:10" s="121" customFormat="1" ht="7.5" customHeight="1">
      <c r="A51" s="176"/>
      <c r="B51" s="28"/>
      <c r="C51" s="28"/>
      <c r="D51" s="28"/>
      <c r="E51" s="177"/>
      <c r="F51" s="177"/>
    </row>
    <row r="52" spans="1:10" s="121" customFormat="1">
      <c r="A52" s="176"/>
      <c r="B52" s="183">
        <f>SUM(B10:B43)</f>
        <v>0</v>
      </c>
      <c r="C52" s="183">
        <f>SUM(C10:C43)</f>
        <v>0</v>
      </c>
      <c r="D52" s="28"/>
      <c r="E52" s="184">
        <f>SUM(E10:E50)</f>
        <v>3331126.8</v>
      </c>
      <c r="F52" s="184">
        <f>SUM(F10:F45)</f>
        <v>3331126.8</v>
      </c>
    </row>
    <row r="53" spans="1:10" s="121" customFormat="1" ht="19.5" customHeight="1">
      <c r="A53" s="185"/>
      <c r="B53" s="61"/>
      <c r="C53" s="186">
        <f>B52-C52</f>
        <v>0</v>
      </c>
      <c r="D53" s="187"/>
      <c r="E53" s="188"/>
      <c r="F53" s="189">
        <f>E52-F52</f>
        <v>0</v>
      </c>
      <c r="H53" s="129"/>
      <c r="I53" s="180"/>
      <c r="J53" s="180"/>
    </row>
    <row r="54" spans="1:10" s="121" customFormat="1">
      <c r="B54" s="129"/>
      <c r="C54" s="129"/>
      <c r="D54" s="129"/>
      <c r="I54" s="180"/>
      <c r="J54" s="180"/>
    </row>
    <row r="55" spans="1:10">
      <c r="A55" s="89" t="s">
        <v>46</v>
      </c>
      <c r="I55" s="190"/>
      <c r="J55" s="190"/>
    </row>
    <row r="56" spans="1:10">
      <c r="A56"/>
    </row>
    <row r="57" spans="1:10">
      <c r="A57"/>
    </row>
    <row r="58" spans="1:10">
      <c r="A58" s="89" t="s">
        <v>47</v>
      </c>
    </row>
    <row r="59" spans="1:10">
      <c r="A59" s="89" t="s">
        <v>48</v>
      </c>
    </row>
  </sheetData>
  <mergeCells count="8">
    <mergeCell ref="D8:E8"/>
    <mergeCell ref="A7:A8"/>
    <mergeCell ref="A1:F1"/>
    <mergeCell ref="A2:F2"/>
    <mergeCell ref="A4:F4"/>
    <mergeCell ref="A5:F5"/>
    <mergeCell ref="B7:C7"/>
    <mergeCell ref="D7:F7"/>
  </mergeCells>
  <pageMargins left="1.18055555555556" right="0.70069444444444495" top="0.50763888888888897" bottom="0.52638888888888902" header="0.297916666666667" footer="0.297916666666667"/>
  <pageSetup scale="95" orientation="portrait" horizontalDpi="300" verticalDpi="300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workbookViewId="0">
      <selection activeCell="F41" sqref="F41"/>
    </sheetView>
  </sheetViews>
  <sheetFormatPr defaultColWidth="9.140625" defaultRowHeight="15"/>
  <cols>
    <col min="1" max="1" width="7.5703125" style="95" customWidth="1"/>
    <col min="2" max="2" width="30.42578125" style="95" customWidth="1"/>
    <col min="3" max="3" width="14.7109375" style="96" hidden="1" customWidth="1"/>
    <col min="4" max="4" width="1.28515625" style="96" hidden="1" customWidth="1"/>
    <col min="5" max="5" width="14.28515625" style="97" hidden="1" customWidth="1"/>
    <col min="6" max="6" width="20.140625" style="95" customWidth="1"/>
    <col min="7" max="7" width="1" style="95" customWidth="1"/>
    <col min="8" max="8" width="17.85546875" style="95" customWidth="1"/>
    <col min="9" max="9" width="13" style="98" hidden="1" customWidth="1"/>
    <col min="10" max="10" width="9.140625" style="95"/>
    <col min="11" max="11" width="12.85546875" style="95" bestFit="1" customWidth="1"/>
    <col min="12" max="16384" width="9.140625" style="95"/>
  </cols>
  <sheetData>
    <row r="1" spans="1:11" ht="18.75" customHeight="1">
      <c r="A1" s="192" t="s">
        <v>49</v>
      </c>
      <c r="B1" s="192"/>
      <c r="C1" s="192"/>
      <c r="D1" s="192"/>
      <c r="E1" s="192"/>
      <c r="F1" s="192"/>
      <c r="G1" s="192"/>
      <c r="H1" s="192"/>
      <c r="I1" s="192"/>
    </row>
    <row r="2" spans="1:11" ht="18.75" customHeight="1">
      <c r="A2" s="204" t="s">
        <v>50</v>
      </c>
      <c r="B2" s="204"/>
      <c r="C2" s="204"/>
      <c r="D2" s="204"/>
      <c r="E2" s="204"/>
      <c r="F2" s="204"/>
      <c r="G2" s="204"/>
      <c r="H2" s="204"/>
      <c r="I2" s="204"/>
    </row>
    <row r="3" spans="1:11" ht="18.75" customHeight="1">
      <c r="A3" s="99"/>
      <c r="B3" s="99"/>
      <c r="C3" s="99"/>
      <c r="D3" s="99"/>
      <c r="E3" s="99"/>
      <c r="F3" s="99"/>
      <c r="G3" s="99"/>
      <c r="H3" s="99"/>
      <c r="I3" s="99"/>
    </row>
    <row r="4" spans="1:11" ht="18.75" customHeight="1">
      <c r="A4" s="194" t="s">
        <v>51</v>
      </c>
      <c r="B4" s="194"/>
      <c r="C4" s="194"/>
      <c r="D4" s="194"/>
      <c r="E4" s="194"/>
      <c r="F4" s="194"/>
      <c r="G4" s="194"/>
      <c r="H4" s="194"/>
      <c r="I4" s="194"/>
    </row>
    <row r="5" spans="1:11" ht="17.25" customHeight="1">
      <c r="A5" s="195" t="str">
        <f>trb!A5</f>
        <v>As of  December 31,2020</v>
      </c>
      <c r="B5" s="195"/>
      <c r="C5" s="195"/>
      <c r="D5" s="195"/>
      <c r="E5" s="195"/>
      <c r="F5" s="195"/>
      <c r="G5" s="195"/>
      <c r="H5" s="195"/>
      <c r="I5" s="195"/>
    </row>
    <row r="6" spans="1:11" s="1" customFormat="1">
      <c r="A6" s="100"/>
      <c r="B6" s="101"/>
      <c r="C6" s="102"/>
      <c r="D6" s="103"/>
      <c r="E6" s="104"/>
      <c r="I6" s="163"/>
    </row>
    <row r="7" spans="1:11" s="1" customFormat="1" ht="7.5" customHeight="1">
      <c r="C7" s="212" t="s">
        <v>52</v>
      </c>
      <c r="D7" s="213"/>
      <c r="E7" s="214"/>
      <c r="F7" s="218" t="s">
        <v>5</v>
      </c>
      <c r="G7" s="219"/>
      <c r="H7" s="220"/>
      <c r="I7" s="210" t="s">
        <v>53</v>
      </c>
    </row>
    <row r="8" spans="1:11" s="1" customFormat="1">
      <c r="A8" s="197" t="s">
        <v>54</v>
      </c>
      <c r="B8" s="205"/>
      <c r="C8" s="215"/>
      <c r="D8" s="216"/>
      <c r="E8" s="217"/>
      <c r="F8" s="221"/>
      <c r="G8" s="222"/>
      <c r="H8" s="223"/>
      <c r="I8" s="211"/>
    </row>
    <row r="9" spans="1:11" s="1" customFormat="1">
      <c r="A9" s="105" t="s">
        <v>55</v>
      </c>
      <c r="B9" s="106"/>
      <c r="C9" s="107"/>
      <c r="D9" s="108"/>
      <c r="E9" s="109"/>
      <c r="F9" s="107"/>
      <c r="G9" s="108"/>
      <c r="H9" s="109"/>
      <c r="I9" s="164"/>
    </row>
    <row r="10" spans="1:11" s="1" customFormat="1">
      <c r="A10" s="110"/>
      <c r="B10" s="111" t="str">
        <f>trb!A10</f>
        <v>Cash /Check</v>
      </c>
      <c r="C10" s="112">
        <f>trb!B10</f>
        <v>0</v>
      </c>
      <c r="D10" s="113"/>
      <c r="E10" s="114"/>
      <c r="F10" s="112">
        <f>trb!E10</f>
        <v>473781.87</v>
      </c>
      <c r="G10" s="113"/>
      <c r="H10" s="114"/>
      <c r="I10" s="165">
        <f>+C10-F10</f>
        <v>-473781.87</v>
      </c>
    </row>
    <row r="11" spans="1:11" s="1" customFormat="1">
      <c r="A11" s="110"/>
      <c r="B11" s="111" t="str">
        <f>trb!A11</f>
        <v>Materials Inventory</v>
      </c>
      <c r="C11" s="112">
        <f>trb!B11</f>
        <v>0</v>
      </c>
      <c r="D11" s="113"/>
      <c r="E11" s="114"/>
      <c r="F11" s="115">
        <f>trb!E11</f>
        <v>354776.08</v>
      </c>
      <c r="G11" s="113"/>
      <c r="H11" s="130"/>
      <c r="I11" s="165">
        <f t="shared" ref="I11:I14" si="0">+C11-F11</f>
        <v>-354776.08</v>
      </c>
    </row>
    <row r="12" spans="1:11" s="1" customFormat="1" hidden="1">
      <c r="A12" s="110"/>
      <c r="B12" s="111" t="str">
        <f>trb!A12</f>
        <v>Finished Goods Inventory</v>
      </c>
      <c r="C12" s="112">
        <f>trb!B12</f>
        <v>0</v>
      </c>
      <c r="D12" s="113"/>
      <c r="E12" s="114"/>
      <c r="F12" s="115">
        <f>trb!E12</f>
        <v>0</v>
      </c>
      <c r="G12" s="113"/>
      <c r="H12" s="114"/>
      <c r="I12" s="165">
        <f t="shared" si="0"/>
        <v>0</v>
      </c>
    </row>
    <row r="13" spans="1:11" s="1" customFormat="1" hidden="1">
      <c r="A13" s="110"/>
      <c r="B13" s="111" t="str">
        <f>trb!A13</f>
        <v>Merchandise Inventory</v>
      </c>
      <c r="C13" s="112">
        <f>trb!B13</f>
        <v>0</v>
      </c>
      <c r="D13" s="113"/>
      <c r="E13" s="114"/>
      <c r="F13" s="115">
        <f>trb!E13</f>
        <v>0</v>
      </c>
      <c r="G13" s="113"/>
      <c r="H13" s="114"/>
      <c r="I13" s="165">
        <f t="shared" si="0"/>
        <v>0</v>
      </c>
    </row>
    <row r="14" spans="1:11" s="1" customFormat="1">
      <c r="A14" s="110"/>
      <c r="B14" s="111" t="str">
        <f>trb!A14</f>
        <v>Accounts Receivable</v>
      </c>
      <c r="C14" s="116">
        <f>trb!B14</f>
        <v>0</v>
      </c>
      <c r="D14" s="113"/>
      <c r="E14" s="117">
        <f>SUM(C10:C14)</f>
        <v>0</v>
      </c>
      <c r="F14" s="116">
        <f>trb!E14</f>
        <v>273623.8</v>
      </c>
      <c r="G14" s="113"/>
      <c r="H14" s="117">
        <f>SUM(F10:F14)</f>
        <v>1102181.75</v>
      </c>
      <c r="I14" s="165">
        <f t="shared" si="0"/>
        <v>-273623.8</v>
      </c>
      <c r="K14" s="238"/>
    </row>
    <row r="15" spans="1:11" s="1" customFormat="1">
      <c r="A15" s="110"/>
      <c r="B15" s="118"/>
      <c r="C15" s="119"/>
      <c r="D15" s="113"/>
      <c r="E15" s="117"/>
      <c r="F15" s="119"/>
      <c r="G15" s="113"/>
      <c r="H15" s="117"/>
      <c r="I15" s="165"/>
    </row>
    <row r="16" spans="1:11" s="1" customFormat="1">
      <c r="A16" s="120" t="s">
        <v>56</v>
      </c>
      <c r="B16" s="121"/>
      <c r="C16" s="122"/>
      <c r="D16" s="123"/>
      <c r="E16" s="114"/>
      <c r="F16" s="122"/>
      <c r="G16" s="123"/>
      <c r="H16" s="114"/>
      <c r="I16" s="166"/>
    </row>
    <row r="17" spans="1:11" s="1" customFormat="1" hidden="1">
      <c r="A17" s="124"/>
      <c r="B17" s="121" t="str">
        <f>trb!A15</f>
        <v>Land and Building</v>
      </c>
      <c r="C17" s="122">
        <f>trb!B15</f>
        <v>0</v>
      </c>
      <c r="D17" s="123"/>
      <c r="E17" s="114"/>
      <c r="F17" s="122">
        <f>trb!E15</f>
        <v>0</v>
      </c>
      <c r="G17" s="123"/>
      <c r="H17" s="114"/>
      <c r="I17" s="166"/>
    </row>
    <row r="18" spans="1:11" s="1" customFormat="1" hidden="1">
      <c r="A18" s="124"/>
      <c r="B18" s="121" t="str">
        <f>trb!A20</f>
        <v>Accum. Depreciation - Bldg</v>
      </c>
      <c r="C18" s="122"/>
      <c r="D18" s="123"/>
      <c r="E18" s="114"/>
      <c r="F18" s="122">
        <f>-trb!F20</f>
        <v>0</v>
      </c>
      <c r="G18" s="123"/>
      <c r="H18" s="114"/>
      <c r="I18" s="166"/>
    </row>
    <row r="19" spans="1:11" s="1" customFormat="1">
      <c r="A19" s="110"/>
      <c r="B19" s="111" t="str">
        <f>trb!A16</f>
        <v>Transportation Equipment</v>
      </c>
      <c r="C19" s="115">
        <f>trb!B16</f>
        <v>0</v>
      </c>
      <c r="D19" s="113"/>
      <c r="E19" s="114"/>
      <c r="F19" s="115">
        <f>trb!E16</f>
        <v>480000</v>
      </c>
      <c r="G19" s="113"/>
      <c r="H19" s="114"/>
      <c r="I19" s="165">
        <f>+F19-C19</f>
        <v>480000</v>
      </c>
      <c r="K19" s="238"/>
    </row>
    <row r="20" spans="1:11" s="1" customFormat="1" ht="15.75" customHeight="1">
      <c r="A20" s="110"/>
      <c r="B20" s="111" t="str">
        <f>trb!A18</f>
        <v>Accum. Depreciation - TE</v>
      </c>
      <c r="C20" s="115">
        <f>-trb!C18</f>
        <v>0</v>
      </c>
      <c r="D20" s="113"/>
      <c r="E20" s="114"/>
      <c r="F20" s="115">
        <f>-trb!F18</f>
        <v>-184512.06999999998</v>
      </c>
      <c r="G20" s="113"/>
      <c r="H20" s="114"/>
      <c r="I20" s="165">
        <f>+F20-C20</f>
        <v>-184512.06999999998</v>
      </c>
      <c r="K20" s="238"/>
    </row>
    <row r="21" spans="1:11" s="1" customFormat="1">
      <c r="A21" s="110"/>
      <c r="B21" s="111" t="str">
        <f>trb!A17</f>
        <v>Office Equipment</v>
      </c>
      <c r="C21" s="115">
        <f>trb!B17</f>
        <v>0</v>
      </c>
      <c r="D21" s="113"/>
      <c r="E21" s="114"/>
      <c r="F21" s="115">
        <f>trb!E17</f>
        <v>56000</v>
      </c>
      <c r="G21" s="113"/>
      <c r="H21" s="114"/>
      <c r="I21" s="165">
        <f t="shared" ref="I21:I22" si="1">+F21-C21</f>
        <v>56000</v>
      </c>
    </row>
    <row r="22" spans="1:11" s="1" customFormat="1">
      <c r="A22" s="110"/>
      <c r="B22" s="111" t="str">
        <f>trb!A19</f>
        <v>Accum. Depreciation - OE</v>
      </c>
      <c r="C22" s="116">
        <f>-trb!C19</f>
        <v>0</v>
      </c>
      <c r="D22" s="125"/>
      <c r="E22" s="126">
        <f>SUM(C17:C22)</f>
        <v>0</v>
      </c>
      <c r="F22" s="116">
        <f>-trb!F19</f>
        <v>-38748.42</v>
      </c>
      <c r="G22" s="125"/>
      <c r="H22" s="126">
        <f>SUM(F17:G22)</f>
        <v>312739.51000000007</v>
      </c>
      <c r="I22" s="165">
        <f t="shared" si="1"/>
        <v>-38748.42</v>
      </c>
    </row>
    <row r="23" spans="1:11" s="1" customFormat="1">
      <c r="A23" s="127"/>
      <c r="B23" s="111"/>
      <c r="C23" s="128"/>
      <c r="D23" s="129"/>
      <c r="E23" s="114"/>
      <c r="F23" s="110"/>
      <c r="G23" s="121"/>
      <c r="H23" s="130"/>
      <c r="I23" s="166"/>
    </row>
    <row r="24" spans="1:11" s="1" customFormat="1">
      <c r="A24" s="206" t="s">
        <v>57</v>
      </c>
      <c r="B24" s="207"/>
      <c r="C24" s="128"/>
      <c r="D24" s="129"/>
      <c r="E24" s="131">
        <f>SUM(E10:E22)</f>
        <v>0</v>
      </c>
      <c r="F24" s="110"/>
      <c r="G24" s="121"/>
      <c r="H24" s="131">
        <f>SUM(H10:H22)</f>
        <v>1414921.26</v>
      </c>
      <c r="I24" s="165">
        <f>SUM(I10:I22)</f>
        <v>-789442.24</v>
      </c>
    </row>
    <row r="25" spans="1:11" s="1" customFormat="1">
      <c r="A25" s="110"/>
      <c r="B25" s="132"/>
      <c r="C25" s="115"/>
      <c r="D25" s="113"/>
      <c r="E25" s="114"/>
      <c r="F25" s="110"/>
      <c r="G25" s="121"/>
      <c r="H25" s="130"/>
      <c r="I25" s="166"/>
    </row>
    <row r="26" spans="1:11" s="1" customFormat="1">
      <c r="A26" s="110"/>
      <c r="B26" s="118"/>
      <c r="C26" s="119"/>
      <c r="D26" s="113"/>
      <c r="E26" s="114"/>
      <c r="F26" s="110"/>
      <c r="G26" s="121"/>
      <c r="H26" s="130"/>
      <c r="I26" s="166"/>
    </row>
    <row r="27" spans="1:11" s="1" customFormat="1">
      <c r="A27" s="197" t="s">
        <v>58</v>
      </c>
      <c r="B27" s="199"/>
      <c r="C27" s="133"/>
      <c r="D27" s="134"/>
      <c r="E27" s="135"/>
      <c r="F27" s="133"/>
      <c r="G27" s="134"/>
      <c r="H27" s="135"/>
      <c r="I27" s="167"/>
    </row>
    <row r="28" spans="1:11" s="1" customFormat="1">
      <c r="A28" s="136"/>
      <c r="B28" s="137"/>
      <c r="C28" s="138"/>
      <c r="D28" s="139"/>
      <c r="E28" s="140"/>
      <c r="F28" s="136"/>
      <c r="G28" s="137"/>
      <c r="H28" s="141"/>
      <c r="I28" s="166"/>
    </row>
    <row r="29" spans="1:11" s="1" customFormat="1" ht="15.75" customHeight="1">
      <c r="A29" s="120" t="s">
        <v>59</v>
      </c>
      <c r="B29" s="142"/>
      <c r="C29" s="143"/>
      <c r="D29" s="123"/>
      <c r="E29" s="114"/>
      <c r="F29" s="110"/>
      <c r="G29" s="121"/>
      <c r="H29" s="130"/>
      <c r="I29" s="166"/>
    </row>
    <row r="30" spans="1:11" s="1" customFormat="1" hidden="1">
      <c r="A30" s="110"/>
      <c r="B30" s="111" t="str">
        <f>trb!A21</f>
        <v>Accounts Payable</v>
      </c>
      <c r="C30" s="115">
        <f>trb!C21</f>
        <v>0</v>
      </c>
      <c r="D30" s="113"/>
      <c r="E30" s="114"/>
      <c r="F30" s="115">
        <f>trb!F21</f>
        <v>0</v>
      </c>
      <c r="G30" s="113"/>
      <c r="H30" s="114"/>
      <c r="I30" s="165">
        <f>+F30-C30</f>
        <v>0</v>
      </c>
    </row>
    <row r="31" spans="1:11" s="1" customFormat="1">
      <c r="A31" s="110"/>
      <c r="B31" s="111" t="str">
        <f>trb!A22</f>
        <v>Loans Payable - Short Term</v>
      </c>
      <c r="C31" s="115">
        <f>trb!C22</f>
        <v>0</v>
      </c>
      <c r="D31" s="113"/>
      <c r="E31" s="114"/>
      <c r="F31" s="115">
        <f>trb!F22</f>
        <v>261841.35</v>
      </c>
      <c r="G31" s="113"/>
      <c r="H31" s="114"/>
      <c r="I31" s="165"/>
      <c r="K31" s="238"/>
    </row>
    <row r="32" spans="1:11" s="1" customFormat="1">
      <c r="A32" s="110"/>
      <c r="B32" s="111" t="str">
        <f>trb!A24</f>
        <v>Accrued Expense</v>
      </c>
      <c r="C32" s="115">
        <f>trb!C23</f>
        <v>0</v>
      </c>
      <c r="D32" s="113"/>
      <c r="E32" s="114"/>
      <c r="F32" s="116">
        <f>trb!F24</f>
        <v>8232.58</v>
      </c>
      <c r="G32" s="113"/>
      <c r="H32" s="114">
        <f>SUM(F30:F32)</f>
        <v>270073.93</v>
      </c>
      <c r="I32" s="165">
        <f t="shared" ref="I32" si="2">+F32-C32</f>
        <v>8232.58</v>
      </c>
    </row>
    <row r="33" spans="1:11" s="1" customFormat="1">
      <c r="A33" s="110"/>
      <c r="B33" s="111"/>
      <c r="C33" s="119"/>
      <c r="D33" s="113"/>
      <c r="E33" s="114"/>
      <c r="F33" s="119"/>
      <c r="G33" s="113"/>
      <c r="H33" s="114"/>
      <c r="I33" s="165"/>
    </row>
    <row r="34" spans="1:11" s="1" customFormat="1" ht="21" hidden="1" customHeight="1">
      <c r="A34" s="120" t="s">
        <v>60</v>
      </c>
      <c r="B34" s="142"/>
      <c r="C34" s="122"/>
      <c r="D34" s="123"/>
      <c r="E34" s="114"/>
      <c r="F34" s="122"/>
      <c r="G34" s="123"/>
      <c r="H34" s="114"/>
      <c r="I34" s="166"/>
    </row>
    <row r="35" spans="1:11" s="1" customFormat="1" hidden="1">
      <c r="A35" s="110"/>
      <c r="B35" s="111" t="str">
        <f>trb!A23</f>
        <v>Loans Payable - Long Term</v>
      </c>
      <c r="C35" s="116">
        <f>trb!C23</f>
        <v>0</v>
      </c>
      <c r="D35" s="113"/>
      <c r="E35" s="114">
        <f>SUM(C35:D35)</f>
        <v>0</v>
      </c>
      <c r="F35" s="116">
        <f>trb!F23</f>
        <v>0</v>
      </c>
      <c r="G35" s="113"/>
      <c r="H35" s="114">
        <f>SUM(F35:G35)</f>
        <v>0</v>
      </c>
      <c r="I35" s="165">
        <f>+F35-C35</f>
        <v>0</v>
      </c>
    </row>
    <row r="36" spans="1:11" s="1" customFormat="1" hidden="1">
      <c r="A36" s="110"/>
      <c r="B36" s="111"/>
      <c r="C36" s="119"/>
      <c r="D36" s="113"/>
      <c r="E36" s="114"/>
      <c r="F36" s="119"/>
      <c r="G36" s="113"/>
      <c r="H36" s="114"/>
      <c r="I36" s="166"/>
    </row>
    <row r="37" spans="1:11" s="1" customFormat="1" ht="15" customHeight="1">
      <c r="A37" s="120" t="s">
        <v>61</v>
      </c>
      <c r="B37" s="142"/>
      <c r="C37" s="122"/>
      <c r="D37" s="123"/>
      <c r="E37" s="114"/>
      <c r="F37" s="122"/>
      <c r="G37" s="123"/>
      <c r="H37" s="114"/>
      <c r="I37" s="166"/>
    </row>
    <row r="38" spans="1:11" s="1" customFormat="1">
      <c r="A38" s="110"/>
      <c r="B38" s="111" t="str">
        <f>trb!A25</f>
        <v>EG, Capital</v>
      </c>
      <c r="C38" s="115">
        <f>trb!C25</f>
        <v>0</v>
      </c>
      <c r="D38" s="113"/>
      <c r="E38" s="114"/>
      <c r="F38" s="115">
        <f>+trb!F25</f>
        <v>500000</v>
      </c>
      <c r="G38" s="113"/>
      <c r="H38" s="114"/>
      <c r="I38" s="165">
        <f>+F38-C38</f>
        <v>500000</v>
      </c>
      <c r="K38" s="238"/>
    </row>
    <row r="39" spans="1:11" s="1" customFormat="1">
      <c r="A39" s="110"/>
      <c r="B39" s="111" t="str">
        <f>trb!A26</f>
        <v>EG, Withdrawal</v>
      </c>
      <c r="C39" s="115">
        <f>-trb!B26</f>
        <v>0</v>
      </c>
      <c r="D39" s="113"/>
      <c r="E39" s="114"/>
      <c r="F39" s="115">
        <f>-trb!E26</f>
        <v>-325885</v>
      </c>
      <c r="G39" s="113"/>
      <c r="H39" s="114"/>
      <c r="I39" s="165">
        <f t="shared" ref="I39" si="3">+F39-C39</f>
        <v>-325885</v>
      </c>
      <c r="K39" s="238"/>
    </row>
    <row r="40" spans="1:11" s="1" customFormat="1">
      <c r="A40" s="110"/>
      <c r="B40" s="111" t="s">
        <v>62</v>
      </c>
      <c r="C40" s="119">
        <f>trb!C27</f>
        <v>0</v>
      </c>
      <c r="D40" s="113"/>
      <c r="E40" s="114"/>
      <c r="F40" s="119">
        <f>trb!F27</f>
        <v>525103.38</v>
      </c>
      <c r="G40" s="113"/>
      <c r="H40" s="114"/>
      <c r="I40" s="165"/>
    </row>
    <row r="41" spans="1:11" s="1" customFormat="1">
      <c r="A41" s="110"/>
      <c r="B41" s="111" t="s">
        <v>63</v>
      </c>
      <c r="C41" s="116" t="e">
        <f>IS!F37</f>
        <v>#REF!</v>
      </c>
      <c r="D41" s="113"/>
      <c r="E41" s="144" t="e">
        <f>SUM(C38:C41)</f>
        <v>#REF!</v>
      </c>
      <c r="F41" s="116">
        <f>IS!I37</f>
        <v>445628.94999999995</v>
      </c>
      <c r="G41" s="113"/>
      <c r="H41" s="144">
        <f>SUM(F38:F41)</f>
        <v>1144847.33</v>
      </c>
      <c r="I41" s="165" t="e">
        <f>+F41-C41</f>
        <v>#REF!</v>
      </c>
    </row>
    <row r="42" spans="1:11" s="1" customFormat="1">
      <c r="A42" s="110"/>
      <c r="B42" s="111"/>
      <c r="C42" s="115"/>
      <c r="D42" s="113"/>
      <c r="E42" s="114"/>
      <c r="F42" s="115"/>
      <c r="G42" s="113"/>
      <c r="H42" s="114"/>
      <c r="I42" s="166"/>
    </row>
    <row r="43" spans="1:11" s="1" customFormat="1">
      <c r="A43" s="208" t="s">
        <v>64</v>
      </c>
      <c r="B43" s="209"/>
      <c r="C43" s="145"/>
      <c r="D43" s="113"/>
      <c r="E43" s="146" t="e">
        <f>SUM(E30:E41)</f>
        <v>#REF!</v>
      </c>
      <c r="F43" s="145"/>
      <c r="G43" s="113"/>
      <c r="H43" s="146">
        <f>SUM(H30:H41)</f>
        <v>1414921.26</v>
      </c>
      <c r="I43" s="165" t="e">
        <f>SUM(I30:I41)</f>
        <v>#REF!</v>
      </c>
    </row>
    <row r="44" spans="1:11" s="1" customFormat="1" ht="15.75" customHeight="1">
      <c r="A44" s="127"/>
      <c r="B44" s="111"/>
      <c r="C44" s="115"/>
      <c r="D44" s="113"/>
      <c r="E44" s="147" t="e">
        <f>E24-E43</f>
        <v>#REF!</v>
      </c>
      <c r="F44" s="148"/>
      <c r="G44" s="149"/>
      <c r="H44" s="147">
        <f>H24-H43</f>
        <v>0</v>
      </c>
      <c r="I44" s="147" t="e">
        <f>I24-I43</f>
        <v>#REF!</v>
      </c>
    </row>
    <row r="45" spans="1:11" s="1" customFormat="1" ht="15.75" customHeight="1">
      <c r="A45" s="150"/>
      <c r="B45" s="151"/>
      <c r="C45" s="152"/>
      <c r="D45" s="153"/>
      <c r="E45" s="144"/>
      <c r="F45" s="154"/>
      <c r="G45" s="155"/>
      <c r="H45" s="156"/>
      <c r="I45" s="168"/>
    </row>
    <row r="46" spans="1:11" s="1" customFormat="1">
      <c r="A46" s="157"/>
      <c r="B46" s="157"/>
      <c r="C46" s="158"/>
      <c r="D46" s="113"/>
      <c r="E46" s="104"/>
      <c r="I46" s="163"/>
    </row>
    <row r="47" spans="1:11" s="1" customFormat="1">
      <c r="A47" s="89"/>
      <c r="B47" s="89" t="s">
        <v>46</v>
      </c>
      <c r="C47" s="159"/>
      <c r="D47" s="159"/>
      <c r="E47" s="104"/>
      <c r="I47" s="163"/>
    </row>
    <row r="48" spans="1:11" s="1" customFormat="1">
      <c r="A48" s="160"/>
      <c r="B48"/>
      <c r="C48" s="159"/>
      <c r="D48" s="159"/>
      <c r="E48" s="104"/>
      <c r="I48" s="163"/>
    </row>
    <row r="49" spans="1:9" s="1" customFormat="1">
      <c r="A49" s="160"/>
      <c r="B49" s="89" t="s">
        <v>47</v>
      </c>
      <c r="C49" s="159"/>
      <c r="D49" s="159"/>
      <c r="E49" s="104"/>
      <c r="I49" s="163"/>
    </row>
    <row r="50" spans="1:9" s="1" customFormat="1">
      <c r="A50" s="89"/>
      <c r="B50" s="89" t="s">
        <v>48</v>
      </c>
      <c r="C50" s="159"/>
      <c r="D50" s="159"/>
      <c r="E50" s="104"/>
      <c r="I50" s="163"/>
    </row>
    <row r="51" spans="1:9" s="1" customFormat="1">
      <c r="A51" s="89"/>
      <c r="B51" s="89"/>
      <c r="C51" s="159"/>
      <c r="D51" s="159"/>
      <c r="E51" s="104"/>
      <c r="I51" s="163"/>
    </row>
    <row r="52" spans="1:9">
      <c r="A52" s="161"/>
      <c r="B52" s="161"/>
      <c r="C52" s="162"/>
      <c r="D52" s="162"/>
    </row>
    <row r="53" spans="1:9">
      <c r="A53" s="161"/>
      <c r="B53" s="161"/>
      <c r="C53" s="162"/>
      <c r="D53" s="162"/>
    </row>
    <row r="54" spans="1:9">
      <c r="A54" s="161"/>
      <c r="B54" s="161"/>
      <c r="C54" s="162"/>
      <c r="D54" s="162"/>
    </row>
    <row r="55" spans="1:9">
      <c r="A55" s="161"/>
      <c r="B55" s="161"/>
      <c r="C55" s="162"/>
      <c r="D55" s="162"/>
    </row>
    <row r="56" spans="1:9">
      <c r="A56" s="161"/>
      <c r="B56" s="161"/>
      <c r="C56" s="162"/>
      <c r="D56" s="162"/>
    </row>
    <row r="57" spans="1:9">
      <c r="A57" s="161"/>
      <c r="B57" s="161"/>
      <c r="C57" s="162"/>
      <c r="D57" s="162"/>
    </row>
    <row r="58" spans="1:9">
      <c r="A58" s="161"/>
      <c r="B58" s="161"/>
      <c r="C58" s="162"/>
      <c r="D58" s="162"/>
    </row>
    <row r="59" spans="1:9">
      <c r="A59" s="161"/>
      <c r="B59" s="161"/>
      <c r="C59" s="162"/>
      <c r="D59" s="162"/>
    </row>
    <row r="60" spans="1:9">
      <c r="A60" s="161"/>
      <c r="B60" s="161"/>
      <c r="C60" s="162"/>
      <c r="D60" s="162"/>
    </row>
    <row r="61" spans="1:9">
      <c r="A61" s="161"/>
      <c r="B61" s="161"/>
      <c r="C61" s="162"/>
      <c r="D61" s="162"/>
    </row>
    <row r="62" spans="1:9">
      <c r="A62" s="161"/>
      <c r="B62" s="161"/>
      <c r="C62" s="162"/>
      <c r="D62" s="162"/>
    </row>
    <row r="63" spans="1:9">
      <c r="A63" s="161"/>
      <c r="B63" s="161"/>
      <c r="C63" s="162"/>
      <c r="D63" s="162"/>
    </row>
    <row r="64" spans="1:9">
      <c r="A64" s="161"/>
      <c r="B64" s="161"/>
      <c r="C64" s="162"/>
      <c r="D64" s="162"/>
    </row>
    <row r="65" spans="1:4">
      <c r="A65" s="161"/>
      <c r="B65" s="161"/>
      <c r="C65" s="162"/>
      <c r="D65" s="162"/>
    </row>
    <row r="66" spans="1:4">
      <c r="A66" s="161"/>
      <c r="B66" s="161"/>
      <c r="C66" s="162"/>
      <c r="D66" s="162"/>
    </row>
  </sheetData>
  <mergeCells count="11">
    <mergeCell ref="A24:B24"/>
    <mergeCell ref="A27:B27"/>
    <mergeCell ref="A43:B43"/>
    <mergeCell ref="I7:I8"/>
    <mergeCell ref="C7:E8"/>
    <mergeCell ref="F7:H8"/>
    <mergeCell ref="A1:I1"/>
    <mergeCell ref="A2:I2"/>
    <mergeCell ref="A4:I4"/>
    <mergeCell ref="A5:I5"/>
    <mergeCell ref="A8:B8"/>
  </mergeCells>
  <pageMargins left="1.0388888888888901" right="0.69930555555555596" top="0.6694444444444449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tabSelected="1" zoomScaleNormal="100" zoomScaleSheetLayoutView="100" workbookViewId="0">
      <selection activeCell="P37" sqref="P37:P38"/>
    </sheetView>
  </sheetViews>
  <sheetFormatPr defaultColWidth="9.140625" defaultRowHeight="15"/>
  <cols>
    <col min="1" max="1" width="5.7109375" style="19" customWidth="1"/>
    <col min="2" max="2" width="5.140625" style="42" customWidth="1"/>
    <col min="3" max="3" width="30.7109375" style="42" customWidth="1"/>
    <col min="4" max="4" width="13" style="43" hidden="1" customWidth="1"/>
    <col min="5" max="5" width="2.42578125" style="43" hidden="1" customWidth="1"/>
    <col min="6" max="6" width="14.85546875" style="43" hidden="1" customWidth="1"/>
    <col min="7" max="7" width="15.7109375" style="43" customWidth="1"/>
    <col min="8" max="8" width="2.7109375" style="19" customWidth="1"/>
    <col min="9" max="9" width="16.28515625" style="19" customWidth="1"/>
    <col min="10" max="10" width="16.28515625" style="19" hidden="1" customWidth="1"/>
    <col min="11" max="11" width="1.5703125" style="19" hidden="1" customWidth="1"/>
    <col min="12" max="13" width="16.28515625" style="19" hidden="1" customWidth="1"/>
    <col min="14" max="14" width="2" style="19" hidden="1" customWidth="1"/>
    <col min="15" max="15" width="16.28515625" style="19" hidden="1" customWidth="1"/>
    <col min="16" max="16" width="12.28515625" style="19" customWidth="1"/>
    <col min="17" max="17" width="11.5703125" style="19" customWidth="1"/>
    <col min="18" max="18" width="11.85546875" style="19" customWidth="1"/>
    <col min="19" max="19" width="19" style="19" customWidth="1"/>
    <col min="20" max="16384" width="9.140625" style="19"/>
  </cols>
  <sheetData>
    <row r="1" spans="1:16" ht="18">
      <c r="A1" s="192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224"/>
    </row>
    <row r="2" spans="1:16" ht="18.75" customHeight="1">
      <c r="A2" s="225" t="s">
        <v>1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6"/>
    </row>
    <row r="3" spans="1:16" ht="13.5" customHeight="1">
      <c r="A3" s="45"/>
      <c r="B3" s="45"/>
      <c r="C3" s="45"/>
      <c r="D3" s="45"/>
      <c r="E3" s="45"/>
      <c r="F3" s="45"/>
      <c r="G3" s="46"/>
      <c r="H3" s="46"/>
      <c r="I3" s="46"/>
      <c r="J3" s="46"/>
      <c r="K3" s="90"/>
      <c r="L3" s="67"/>
      <c r="M3" s="46"/>
      <c r="N3" s="90"/>
      <c r="O3" s="72"/>
    </row>
    <row r="4" spans="1:16" ht="18" customHeight="1">
      <c r="A4" s="194" t="s">
        <v>65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227"/>
    </row>
    <row r="5" spans="1:16">
      <c r="A5" s="47"/>
      <c r="B5" s="228" t="s">
        <v>109</v>
      </c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9"/>
    </row>
    <row r="6" spans="1:16">
      <c r="A6" s="47"/>
      <c r="B6" s="49"/>
      <c r="C6" s="49"/>
      <c r="D6" s="50"/>
      <c r="E6" s="50"/>
      <c r="F6" s="50"/>
      <c r="G6" s="50"/>
      <c r="H6" s="47"/>
      <c r="I6" s="47"/>
      <c r="J6" s="47"/>
      <c r="K6" s="47"/>
      <c r="L6" s="47"/>
      <c r="M6" s="47"/>
      <c r="N6" s="47"/>
      <c r="O6" s="91"/>
    </row>
    <row r="7" spans="1:16">
      <c r="A7" s="230"/>
      <c r="B7" s="231"/>
      <c r="C7" s="232"/>
      <c r="D7" s="233" t="s">
        <v>4</v>
      </c>
      <c r="E7" s="234"/>
      <c r="F7" s="235"/>
      <c r="G7" s="233" t="s">
        <v>66</v>
      </c>
      <c r="H7" s="234"/>
      <c r="I7" s="235"/>
      <c r="J7" s="233" t="s">
        <v>67</v>
      </c>
      <c r="K7" s="234"/>
      <c r="L7" s="235"/>
      <c r="M7" s="233" t="s">
        <v>68</v>
      </c>
      <c r="N7" s="234"/>
      <c r="O7" s="235"/>
    </row>
    <row r="8" spans="1:16" s="40" customFormat="1" ht="19.5" customHeight="1">
      <c r="A8" s="51"/>
      <c r="B8" s="52" t="s">
        <v>69</v>
      </c>
      <c r="C8" s="53"/>
      <c r="D8" s="54"/>
      <c r="E8" s="55"/>
      <c r="F8" s="56"/>
      <c r="G8" s="54"/>
      <c r="H8" s="55"/>
      <c r="I8" s="56"/>
      <c r="J8" s="54"/>
      <c r="K8" s="55"/>
      <c r="L8" s="56"/>
      <c r="M8" s="54"/>
      <c r="N8" s="55"/>
      <c r="O8" s="56"/>
      <c r="P8" s="92"/>
    </row>
    <row r="9" spans="1:16" s="41" customFormat="1">
      <c r="A9" s="57"/>
      <c r="B9" s="58" t="s">
        <v>70</v>
      </c>
      <c r="C9" s="59"/>
      <c r="D9" s="60"/>
      <c r="E9" s="61"/>
      <c r="F9" s="62">
        <f>trb!C28</f>
        <v>0</v>
      </c>
      <c r="G9" s="60"/>
      <c r="H9" s="61"/>
      <c r="I9" s="62">
        <f>trb!F28</f>
        <v>1812689</v>
      </c>
      <c r="J9" s="60"/>
      <c r="K9" s="61"/>
      <c r="L9" s="62">
        <v>9130208.1300000008</v>
      </c>
      <c r="M9" s="60"/>
      <c r="N9" s="61"/>
      <c r="O9" s="62">
        <f>+I9-L9</f>
        <v>-7317519.1300000008</v>
      </c>
      <c r="P9" s="93"/>
    </row>
    <row r="10" spans="1:16" s="41" customFormat="1" hidden="1">
      <c r="A10" s="57"/>
      <c r="B10" s="63" t="s">
        <v>71</v>
      </c>
      <c r="C10" s="59" t="s">
        <v>72</v>
      </c>
      <c r="D10" s="64">
        <f>trb!B30</f>
        <v>0</v>
      </c>
      <c r="E10" s="65"/>
      <c r="F10" s="66"/>
      <c r="G10" s="64">
        <f>trb!E29</f>
        <v>0</v>
      </c>
      <c r="H10" s="65"/>
      <c r="I10" s="66"/>
      <c r="J10" s="64">
        <v>0</v>
      </c>
      <c r="K10" s="65"/>
      <c r="L10" s="66"/>
      <c r="M10" s="64">
        <f>+G10-J10</f>
        <v>0</v>
      </c>
      <c r="N10" s="65"/>
      <c r="O10" s="66"/>
      <c r="P10" s="93"/>
    </row>
    <row r="11" spans="1:16" s="41" customFormat="1" ht="16.5" hidden="1" customHeight="1">
      <c r="A11" s="57"/>
      <c r="B11" s="67"/>
      <c r="C11" s="59" t="s">
        <v>73</v>
      </c>
      <c r="D11" s="68">
        <f>trb!B29</f>
        <v>0</v>
      </c>
      <c r="E11" s="65"/>
      <c r="F11" s="69">
        <f>+D10+D11</f>
        <v>0</v>
      </c>
      <c r="G11" s="68">
        <f>trb!E30</f>
        <v>0</v>
      </c>
      <c r="H11" s="65"/>
      <c r="I11" s="69">
        <f>+G10+G11</f>
        <v>0</v>
      </c>
      <c r="J11" s="68">
        <v>0</v>
      </c>
      <c r="K11" s="65"/>
      <c r="L11" s="69">
        <v>0</v>
      </c>
      <c r="M11" s="64">
        <f>+G11-J11</f>
        <v>0</v>
      </c>
      <c r="N11" s="65"/>
      <c r="O11" s="69">
        <f>+M10+M11</f>
        <v>0</v>
      </c>
      <c r="P11" s="93"/>
    </row>
    <row r="12" spans="1:16" s="41" customFormat="1" ht="18" hidden="1" customHeight="1">
      <c r="A12" s="57"/>
      <c r="B12" s="58" t="s">
        <v>74</v>
      </c>
      <c r="C12" s="59"/>
      <c r="D12" s="60"/>
      <c r="E12" s="61"/>
      <c r="F12" s="62">
        <f>+F9-F11</f>
        <v>0</v>
      </c>
      <c r="G12" s="60"/>
      <c r="H12" s="61"/>
      <c r="I12" s="62">
        <f>+I9-I11</f>
        <v>1812689</v>
      </c>
      <c r="J12" s="60"/>
      <c r="K12" s="61"/>
      <c r="L12" s="62">
        <f>L9</f>
        <v>9130208.1300000008</v>
      </c>
      <c r="M12" s="60"/>
      <c r="N12" s="61"/>
      <c r="O12" s="62">
        <f>+O9-O11</f>
        <v>-7317519.1300000008</v>
      </c>
      <c r="P12" s="93"/>
    </row>
    <row r="13" spans="1:16" s="41" customFormat="1">
      <c r="A13" s="57"/>
      <c r="B13" s="58"/>
      <c r="C13" s="59"/>
      <c r="D13" s="60"/>
      <c r="E13" s="61"/>
      <c r="F13" s="62"/>
      <c r="G13" s="60"/>
      <c r="H13" s="61"/>
      <c r="I13" s="62"/>
      <c r="J13" s="60"/>
      <c r="K13" s="61"/>
      <c r="L13" s="62"/>
      <c r="M13" s="60"/>
      <c r="N13" s="61"/>
      <c r="O13" s="62"/>
      <c r="P13" s="93"/>
    </row>
    <row r="14" spans="1:16" s="41" customFormat="1">
      <c r="A14" s="57"/>
      <c r="B14" s="63" t="s">
        <v>75</v>
      </c>
      <c r="C14" s="70" t="s">
        <v>76</v>
      </c>
      <c r="D14" s="60"/>
      <c r="E14" s="61"/>
      <c r="F14" s="62"/>
      <c r="G14" s="60"/>
      <c r="H14" s="61"/>
      <c r="I14" s="62"/>
      <c r="J14" s="60"/>
      <c r="K14" s="61"/>
      <c r="L14" s="62"/>
      <c r="M14" s="61"/>
      <c r="N14" s="61"/>
      <c r="O14" s="62"/>
      <c r="P14" s="93"/>
    </row>
    <row r="15" spans="1:16" s="41" customFormat="1" ht="14.25" customHeight="1">
      <c r="A15" s="57"/>
      <c r="B15" s="63"/>
      <c r="C15" s="70"/>
      <c r="D15" s="60"/>
      <c r="E15" s="61"/>
      <c r="F15" s="62"/>
      <c r="G15" s="60"/>
      <c r="H15" s="61"/>
      <c r="I15" s="62"/>
      <c r="J15" s="60"/>
      <c r="K15" s="61"/>
      <c r="L15" s="62"/>
      <c r="M15" s="60"/>
      <c r="N15" s="61"/>
      <c r="O15" s="62"/>
      <c r="P15" s="93"/>
    </row>
    <row r="16" spans="1:16" s="41" customFormat="1" ht="15.75" customHeight="1">
      <c r="A16" s="57"/>
      <c r="B16" s="58"/>
      <c r="C16" s="59" t="s">
        <v>77</v>
      </c>
      <c r="D16" s="60"/>
      <c r="E16" s="61"/>
      <c r="F16" s="62"/>
      <c r="G16" s="60">
        <v>324523.08</v>
      </c>
      <c r="H16" s="61"/>
      <c r="I16" s="62"/>
      <c r="J16" s="60">
        <v>2263774.9867096199</v>
      </c>
      <c r="K16" s="61"/>
      <c r="L16" s="62"/>
      <c r="M16" s="60">
        <f>+G16-J16</f>
        <v>-1939251.9067096198</v>
      </c>
      <c r="N16" s="61"/>
      <c r="O16" s="62"/>
      <c r="P16" s="93"/>
    </row>
    <row r="17" spans="1:19" s="41" customFormat="1" ht="15" customHeight="1">
      <c r="A17" s="57"/>
      <c r="B17" s="58"/>
      <c r="C17" s="59" t="s">
        <v>78</v>
      </c>
      <c r="D17" s="71" t="e">
        <f>#REF!</f>
        <v>#REF!</v>
      </c>
      <c r="E17" s="61"/>
      <c r="F17" s="62"/>
      <c r="G17" s="71">
        <f>712582.25+17929</f>
        <v>730511.25</v>
      </c>
      <c r="H17" s="61"/>
      <c r="I17" s="62"/>
      <c r="J17" s="71">
        <v>4233470.75</v>
      </c>
      <c r="K17" s="61"/>
      <c r="L17" s="62"/>
      <c r="M17" s="71">
        <f>+G17-J17</f>
        <v>-3502959.5</v>
      </c>
      <c r="N17" s="61"/>
      <c r="O17" s="65"/>
    </row>
    <row r="18" spans="1:19" s="41" customFormat="1" ht="15" customHeight="1">
      <c r="A18" s="57"/>
      <c r="B18" s="63"/>
      <c r="C18" s="59" t="s">
        <v>79</v>
      </c>
      <c r="D18" s="60" t="e">
        <f>SUM(D16:D17)</f>
        <v>#REF!</v>
      </c>
      <c r="E18" s="61"/>
      <c r="F18" s="72"/>
      <c r="G18" s="60">
        <f>G16+G17</f>
        <v>1055034.33</v>
      </c>
      <c r="H18" s="61"/>
      <c r="I18" s="72"/>
      <c r="J18" s="60">
        <f>SUM(J16:J17)</f>
        <v>6497245.7367096199</v>
      </c>
      <c r="K18" s="61"/>
      <c r="L18" s="72"/>
      <c r="M18" s="60">
        <f>SUM(M16:M17)</f>
        <v>-5442211.4067096198</v>
      </c>
      <c r="N18" s="61"/>
      <c r="O18" s="67"/>
    </row>
    <row r="19" spans="1:19" s="41" customFormat="1" ht="15.75" customHeight="1">
      <c r="A19" s="57"/>
      <c r="B19" s="63"/>
      <c r="C19" s="59" t="s">
        <v>80</v>
      </c>
      <c r="D19" s="71" t="e">
        <f>trb!#REF!</f>
        <v>#REF!</v>
      </c>
      <c r="E19" s="61"/>
      <c r="F19" s="69" t="e">
        <f>+D18-D19</f>
        <v>#REF!</v>
      </c>
      <c r="G19" s="71">
        <f>trb!E11</f>
        <v>354776.08</v>
      </c>
      <c r="H19" s="61"/>
      <c r="I19" s="69">
        <f>+G18-G19</f>
        <v>700258.25</v>
      </c>
      <c r="J19" s="71">
        <v>1035581.28670962</v>
      </c>
      <c r="K19" s="61"/>
      <c r="L19" s="69">
        <f>+J18-J19</f>
        <v>5461664.4500000002</v>
      </c>
      <c r="M19" s="71">
        <f>+G19-J19</f>
        <v>-680805.20670962008</v>
      </c>
      <c r="N19" s="61"/>
      <c r="O19" s="240">
        <f>+M18-M19</f>
        <v>-4761406.1999999993</v>
      </c>
      <c r="P19" s="239"/>
      <c r="Q19" s="28"/>
      <c r="R19" s="239"/>
    </row>
    <row r="20" spans="1:19" s="41" customFormat="1" ht="12.75" customHeight="1">
      <c r="A20" s="57"/>
      <c r="B20" s="63"/>
      <c r="C20" s="59"/>
      <c r="D20" s="60"/>
      <c r="E20" s="61"/>
      <c r="F20" s="62"/>
      <c r="G20" s="60"/>
      <c r="H20" s="61"/>
      <c r="I20" s="62"/>
      <c r="J20" s="60"/>
      <c r="K20" s="61"/>
      <c r="L20" s="62"/>
      <c r="M20" s="60"/>
      <c r="N20" s="61"/>
      <c r="O20" s="65"/>
    </row>
    <row r="21" spans="1:19" s="41" customFormat="1">
      <c r="A21" s="57"/>
      <c r="B21" s="63"/>
      <c r="C21" s="59"/>
      <c r="D21" s="60"/>
      <c r="E21" s="61"/>
      <c r="F21" s="62"/>
      <c r="G21" s="60"/>
      <c r="H21" s="61"/>
      <c r="I21" s="62"/>
      <c r="J21" s="60"/>
      <c r="K21" s="61"/>
      <c r="L21" s="62"/>
      <c r="M21" s="60"/>
      <c r="N21" s="61"/>
      <c r="O21" s="62"/>
      <c r="P21" s="93"/>
    </row>
    <row r="22" spans="1:19" s="41" customFormat="1">
      <c r="A22" s="57"/>
      <c r="B22" s="73" t="s">
        <v>81</v>
      </c>
      <c r="C22" s="59"/>
      <c r="D22" s="60"/>
      <c r="E22" s="61"/>
      <c r="F22" s="62" t="e">
        <f>+F12-F19-#REF!</f>
        <v>#REF!</v>
      </c>
      <c r="G22" s="60"/>
      <c r="H22" s="61"/>
      <c r="I22" s="62">
        <f>+I12-I19</f>
        <v>1112430.75</v>
      </c>
      <c r="J22" s="60"/>
      <c r="K22" s="61"/>
      <c r="L22" s="62">
        <f>+L12-L19</f>
        <v>3668543.68</v>
      </c>
      <c r="M22" s="60"/>
      <c r="N22" s="61"/>
      <c r="O22" s="62">
        <f>+O12-O19</f>
        <v>-2556112.9300000016</v>
      </c>
      <c r="S22" s="239"/>
    </row>
    <row r="23" spans="1:19" s="41" customFormat="1" ht="16.5" customHeight="1">
      <c r="A23" s="57"/>
      <c r="B23" s="63" t="s">
        <v>75</v>
      </c>
      <c r="C23" s="74" t="s">
        <v>82</v>
      </c>
      <c r="D23" s="60"/>
      <c r="E23" s="61"/>
      <c r="F23" s="66"/>
      <c r="G23" s="60"/>
      <c r="H23" s="61"/>
      <c r="I23" s="66"/>
      <c r="J23" s="60"/>
      <c r="K23" s="61"/>
      <c r="L23" s="66"/>
      <c r="M23" s="60"/>
      <c r="N23" s="61"/>
      <c r="O23" s="66"/>
    </row>
    <row r="24" spans="1:19" s="41" customFormat="1" ht="3" customHeight="1">
      <c r="A24" s="57"/>
      <c r="B24" s="67"/>
      <c r="C24" s="59"/>
      <c r="D24" s="60"/>
      <c r="E24" s="61"/>
      <c r="F24" s="66"/>
      <c r="G24" s="60"/>
      <c r="H24" s="61"/>
      <c r="I24" s="66"/>
      <c r="J24" s="60"/>
      <c r="K24" s="61"/>
      <c r="L24" s="66"/>
      <c r="M24" s="60"/>
      <c r="N24" s="61"/>
      <c r="O24" s="66"/>
    </row>
    <row r="25" spans="1:19" s="41" customFormat="1">
      <c r="A25" s="57"/>
      <c r="B25" s="67"/>
      <c r="C25" s="75" t="str">
        <f>[1]trb!A32</f>
        <v>Salaries and Wages</v>
      </c>
      <c r="D25" s="64">
        <f>[1]trb!B32</f>
        <v>0</v>
      </c>
      <c r="E25" s="65"/>
      <c r="F25" s="66"/>
      <c r="G25" s="64">
        <f>trb!E32</f>
        <v>160258</v>
      </c>
      <c r="H25" s="65"/>
      <c r="I25" s="66"/>
      <c r="J25" s="64">
        <v>295435</v>
      </c>
      <c r="K25" s="65"/>
      <c r="L25" s="66"/>
      <c r="M25" s="64">
        <f>+G25-J25</f>
        <v>-135177</v>
      </c>
      <c r="N25" s="65"/>
      <c r="O25" s="66"/>
      <c r="Q25" s="239"/>
    </row>
    <row r="26" spans="1:19" s="41" customFormat="1">
      <c r="A26" s="57"/>
      <c r="B26" s="67"/>
      <c r="C26" s="75" t="str">
        <f>[1]trb!A33</f>
        <v>Sales Commission</v>
      </c>
      <c r="D26" s="64"/>
      <c r="E26" s="65"/>
      <c r="F26" s="66"/>
      <c r="G26" s="64">
        <f>trb!E33</f>
        <v>96000</v>
      </c>
      <c r="H26" s="65"/>
      <c r="I26" s="66"/>
      <c r="J26" s="64">
        <v>135810.6</v>
      </c>
      <c r="K26" s="65"/>
      <c r="L26" s="66"/>
      <c r="M26" s="64">
        <f>+G26-J26</f>
        <v>-39810.600000000006</v>
      </c>
      <c r="N26" s="65"/>
      <c r="O26" s="66"/>
    </row>
    <row r="27" spans="1:19" s="41" customFormat="1">
      <c r="A27" s="57"/>
      <c r="B27" s="67"/>
      <c r="C27" s="75" t="s">
        <v>33</v>
      </c>
      <c r="D27" s="64"/>
      <c r="E27" s="65"/>
      <c r="F27" s="66"/>
      <c r="G27" s="64">
        <f>trb!E35</f>
        <v>16253.3</v>
      </c>
      <c r="H27" s="65"/>
      <c r="I27" s="66"/>
      <c r="J27" s="64"/>
      <c r="K27" s="65"/>
      <c r="L27" s="66"/>
      <c r="M27" s="64"/>
      <c r="N27" s="65"/>
      <c r="O27" s="66"/>
    </row>
    <row r="28" spans="1:19" s="41" customFormat="1">
      <c r="A28" s="57"/>
      <c r="B28" s="67"/>
      <c r="C28" s="75" t="s">
        <v>34</v>
      </c>
      <c r="D28" s="64"/>
      <c r="E28" s="65"/>
      <c r="F28" s="66"/>
      <c r="G28" s="64">
        <f>trb!E36</f>
        <v>5223.2</v>
      </c>
      <c r="H28" s="65"/>
      <c r="I28" s="66"/>
      <c r="J28" s="64"/>
      <c r="K28" s="65"/>
      <c r="L28" s="66"/>
      <c r="M28" s="64"/>
      <c r="N28" s="65"/>
      <c r="O28" s="66"/>
    </row>
    <row r="29" spans="1:19" s="41" customFormat="1">
      <c r="A29" s="57"/>
      <c r="B29" s="76"/>
      <c r="C29" s="75" t="str">
        <f>[1]trb!A38</f>
        <v>Fuel and Lubricants</v>
      </c>
      <c r="D29" s="64">
        <f>[1]trb!B39</f>
        <v>0</v>
      </c>
      <c r="E29" s="65"/>
      <c r="F29" s="66"/>
      <c r="G29" s="64">
        <f>trb!E38</f>
        <v>180118</v>
      </c>
      <c r="H29" s="65"/>
      <c r="I29" s="66"/>
      <c r="J29" s="64">
        <v>262975.67</v>
      </c>
      <c r="K29" s="65"/>
      <c r="L29" s="66"/>
      <c r="M29" s="64">
        <f t="shared" ref="M29:M35" si="0">+G29-J29</f>
        <v>-82857.669999999984</v>
      </c>
      <c r="N29" s="65"/>
      <c r="O29" s="66"/>
    </row>
    <row r="30" spans="1:19" s="41" customFormat="1">
      <c r="A30" s="57"/>
      <c r="B30" s="67"/>
      <c r="C30" s="75" t="str">
        <f>[1]trb!A41</f>
        <v>Power, Light and Water</v>
      </c>
      <c r="D30" s="64">
        <f>[1]trb!B41</f>
        <v>0</v>
      </c>
      <c r="E30" s="65"/>
      <c r="F30" s="66"/>
      <c r="G30" s="64">
        <f>trb!E41</f>
        <v>90000</v>
      </c>
      <c r="H30" s="65"/>
      <c r="I30" s="62"/>
      <c r="J30" s="64">
        <v>162070.26999999999</v>
      </c>
      <c r="K30" s="65"/>
      <c r="L30" s="62"/>
      <c r="M30" s="64">
        <f t="shared" si="0"/>
        <v>-72070.26999999999</v>
      </c>
      <c r="N30" s="65"/>
      <c r="O30" s="62"/>
      <c r="Q30" s="19"/>
    </row>
    <row r="31" spans="1:19" s="41" customFormat="1">
      <c r="A31" s="57"/>
      <c r="B31" s="67"/>
      <c r="C31" s="75" t="str">
        <f>[1]trb!A42</f>
        <v>Postage,Telephone and Cable Exp.</v>
      </c>
      <c r="D31" s="64">
        <f>[1]trb!B42</f>
        <v>0</v>
      </c>
      <c r="E31" s="65"/>
      <c r="F31" s="66"/>
      <c r="G31" s="64">
        <f>trb!E42</f>
        <v>15000</v>
      </c>
      <c r="H31" s="65"/>
      <c r="I31" s="62"/>
      <c r="J31" s="64">
        <v>204230.56</v>
      </c>
      <c r="K31" s="65"/>
      <c r="L31" s="62"/>
      <c r="M31" s="64">
        <f t="shared" si="0"/>
        <v>-189230.56</v>
      </c>
      <c r="N31" s="65"/>
      <c r="O31" s="62"/>
    </row>
    <row r="32" spans="1:19" s="41" customFormat="1">
      <c r="A32" s="57"/>
      <c r="B32" s="67"/>
      <c r="C32" s="75" t="s">
        <v>41</v>
      </c>
      <c r="D32" s="64">
        <f>trb!B41</f>
        <v>0</v>
      </c>
      <c r="E32" s="65"/>
      <c r="F32" s="66"/>
      <c r="G32" s="64">
        <f>trb!E43</f>
        <v>58324</v>
      </c>
      <c r="H32" s="65"/>
      <c r="I32" s="66"/>
      <c r="J32" s="64">
        <v>78484.5</v>
      </c>
      <c r="K32" s="65"/>
      <c r="L32" s="66"/>
      <c r="M32" s="64">
        <f t="shared" si="0"/>
        <v>-20160.5</v>
      </c>
      <c r="N32" s="65"/>
      <c r="O32" s="66"/>
    </row>
    <row r="33" spans="1:17" s="41" customFormat="1">
      <c r="A33" s="57"/>
      <c r="B33" s="67"/>
      <c r="C33" s="75" t="s">
        <v>83</v>
      </c>
      <c r="D33" s="64"/>
      <c r="E33" s="65"/>
      <c r="F33" s="66"/>
      <c r="G33" s="64">
        <f>trb!E39</f>
        <v>45625.3</v>
      </c>
      <c r="H33" s="65"/>
      <c r="I33" s="66"/>
      <c r="J33" s="64">
        <v>56037.01</v>
      </c>
      <c r="K33" s="65"/>
      <c r="L33" s="66"/>
      <c r="M33" s="64">
        <f t="shared" si="0"/>
        <v>-10411.709999999999</v>
      </c>
      <c r="N33" s="65"/>
      <c r="O33" s="66"/>
    </row>
    <row r="34" spans="1:17" s="41" customFormat="1">
      <c r="A34" s="57"/>
      <c r="B34" s="67"/>
      <c r="C34" s="75"/>
      <c r="D34" s="64"/>
      <c r="E34" s="65"/>
      <c r="F34" s="66"/>
      <c r="G34" s="64"/>
      <c r="H34" s="65"/>
      <c r="I34" s="66"/>
      <c r="J34" s="64">
        <v>2600</v>
      </c>
      <c r="K34" s="65"/>
      <c r="L34" s="66"/>
      <c r="M34" s="64">
        <f t="shared" si="0"/>
        <v>-2600</v>
      </c>
      <c r="N34" s="65"/>
      <c r="O34" s="66"/>
    </row>
    <row r="35" spans="1:17" s="41" customFormat="1">
      <c r="A35" s="57"/>
      <c r="B35" s="67"/>
      <c r="C35" s="75"/>
      <c r="D35" s="64"/>
      <c r="E35" s="65"/>
      <c r="F35" s="66"/>
      <c r="G35" s="68"/>
      <c r="H35" s="65"/>
      <c r="I35" s="94">
        <f>SUM(G25:G35)</f>
        <v>666801.80000000005</v>
      </c>
      <c r="J35" s="68">
        <v>2000</v>
      </c>
      <c r="K35" s="65"/>
      <c r="L35" s="94">
        <f>SUM(J25:J35)</f>
        <v>1199643.6100000001</v>
      </c>
      <c r="M35" s="68">
        <f t="shared" si="0"/>
        <v>-2000</v>
      </c>
      <c r="N35" s="65"/>
      <c r="O35" s="94">
        <f>SUM(M25:M35)</f>
        <v>-554318.30999999994</v>
      </c>
    </row>
    <row r="36" spans="1:17" s="41" customFormat="1" ht="21.75" customHeight="1">
      <c r="A36" s="57"/>
      <c r="B36" s="67"/>
      <c r="C36" s="75"/>
      <c r="D36" s="64"/>
      <c r="E36" s="65"/>
      <c r="F36" s="66"/>
      <c r="G36" s="64"/>
      <c r="H36" s="65"/>
      <c r="I36" s="66"/>
      <c r="J36" s="64"/>
      <c r="K36" s="65"/>
      <c r="L36" s="66"/>
      <c r="M36" s="64"/>
      <c r="N36" s="65"/>
      <c r="O36" s="66"/>
    </row>
    <row r="37" spans="1:17" s="41" customFormat="1" ht="14.25" customHeight="1">
      <c r="A37" s="57"/>
      <c r="B37" s="73" t="s">
        <v>84</v>
      </c>
      <c r="C37" s="59"/>
      <c r="D37" s="60"/>
      <c r="E37" s="61"/>
      <c r="F37" s="77" t="e">
        <f>+F22-F35</f>
        <v>#REF!</v>
      </c>
      <c r="G37" s="60"/>
      <c r="H37" s="61"/>
      <c r="I37" s="77">
        <f>+I22-I35</f>
        <v>445628.94999999995</v>
      </c>
      <c r="J37" s="60"/>
      <c r="K37" s="61"/>
      <c r="L37" s="77">
        <f>+L22-L35</f>
        <v>2468900.0699999998</v>
      </c>
      <c r="M37" s="60"/>
      <c r="N37" s="61"/>
      <c r="O37" s="77">
        <f>+O22-O35</f>
        <v>-2001794.6200000015</v>
      </c>
    </row>
    <row r="38" spans="1:17" s="41" customFormat="1" ht="15" customHeight="1">
      <c r="A38" s="78"/>
      <c r="B38" s="79"/>
      <c r="C38" s="80"/>
      <c r="D38" s="81"/>
      <c r="E38" s="82"/>
      <c r="F38" s="83"/>
      <c r="G38" s="81"/>
      <c r="H38" s="82"/>
      <c r="I38" s="83"/>
      <c r="J38" s="81"/>
      <c r="K38" s="82"/>
      <c r="L38" s="83"/>
      <c r="M38" s="81"/>
      <c r="N38" s="82"/>
      <c r="O38" s="83"/>
      <c r="P38" s="239"/>
      <c r="Q38" s="239"/>
    </row>
    <row r="39" spans="1:17" s="41" customFormat="1">
      <c r="A39" s="67"/>
      <c r="B39" s="67"/>
      <c r="C39" s="67"/>
      <c r="D39" s="84"/>
      <c r="E39" s="84"/>
      <c r="F39" s="84"/>
      <c r="G39" s="84"/>
      <c r="H39" s="67"/>
      <c r="I39" s="67"/>
      <c r="J39" s="67"/>
      <c r="K39" s="67"/>
      <c r="L39" s="67"/>
      <c r="M39" s="67"/>
      <c r="N39" s="67"/>
      <c r="O39" s="67"/>
    </row>
    <row r="40" spans="1:17" hidden="1">
      <c r="A40" s="47"/>
      <c r="B40" s="85" t="s">
        <v>85</v>
      </c>
      <c r="C40" s="85"/>
      <c r="D40" s="50"/>
      <c r="E40" s="50"/>
      <c r="F40" s="50"/>
      <c r="G40" s="50"/>
      <c r="H40" s="47"/>
      <c r="I40" s="47"/>
      <c r="J40" s="47"/>
      <c r="K40" s="47"/>
      <c r="L40" s="47"/>
      <c r="M40" s="47"/>
      <c r="N40" s="47"/>
      <c r="O40" s="47"/>
    </row>
    <row r="41" spans="1:17" hidden="1">
      <c r="A41" s="47"/>
      <c r="B41" s="49"/>
      <c r="C41" s="86"/>
      <c r="D41" s="50"/>
      <c r="E41" s="50"/>
      <c r="F41" s="50"/>
      <c r="G41" s="50"/>
      <c r="H41" s="47"/>
      <c r="I41" s="47"/>
      <c r="J41" s="47"/>
      <c r="K41" s="47"/>
      <c r="L41" s="47"/>
      <c r="M41" s="47"/>
      <c r="N41" s="47"/>
      <c r="O41" s="47"/>
    </row>
    <row r="42" spans="1:17" hidden="1">
      <c r="A42" s="47"/>
      <c r="B42" s="85"/>
      <c r="C42" s="87" t="s">
        <v>86</v>
      </c>
      <c r="D42" s="50"/>
      <c r="E42" s="50"/>
      <c r="F42" s="50"/>
      <c r="G42" s="50"/>
      <c r="H42" s="47"/>
      <c r="I42" s="47"/>
      <c r="J42" s="47"/>
      <c r="K42" s="47"/>
      <c r="L42" s="47"/>
      <c r="M42" s="47"/>
      <c r="N42" s="47"/>
      <c r="O42" s="47"/>
    </row>
    <row r="43" spans="1:17" hidden="1">
      <c r="A43" s="47"/>
      <c r="B43" s="85"/>
      <c r="C43" s="85"/>
      <c r="D43" s="50"/>
      <c r="E43" s="50"/>
      <c r="F43" s="50"/>
      <c r="G43" s="50"/>
      <c r="H43" s="47"/>
      <c r="I43" s="47"/>
      <c r="J43" s="47"/>
      <c r="K43" s="47"/>
      <c r="L43" s="47"/>
      <c r="M43" s="47"/>
      <c r="N43" s="47"/>
      <c r="O43" s="47"/>
    </row>
    <row r="44" spans="1:17" hidden="1">
      <c r="A44" s="47"/>
      <c r="B44" s="85"/>
      <c r="C44" s="85"/>
      <c r="D44" s="50"/>
      <c r="E44" s="50"/>
      <c r="F44" s="50"/>
      <c r="G44" s="50"/>
      <c r="H44" s="47"/>
      <c r="I44" s="47"/>
      <c r="J44" s="47"/>
      <c r="K44" s="47"/>
      <c r="L44" s="47"/>
      <c r="M44" s="47"/>
      <c r="N44" s="47"/>
      <c r="O44" s="47"/>
    </row>
    <row r="45" spans="1:17" hidden="1">
      <c r="A45" s="47"/>
      <c r="B45" s="85" t="s">
        <v>87</v>
      </c>
      <c r="C45" s="85"/>
      <c r="D45" s="50"/>
      <c r="E45" s="50"/>
      <c r="F45" s="50"/>
      <c r="G45" s="50"/>
      <c r="H45" s="47"/>
      <c r="I45" s="47"/>
      <c r="J45" s="47"/>
      <c r="K45" s="47"/>
      <c r="L45" s="47"/>
      <c r="M45" s="47"/>
      <c r="N45" s="47"/>
      <c r="O45" s="47"/>
    </row>
    <row r="46" spans="1:17" hidden="1">
      <c r="A46" s="47"/>
      <c r="B46" s="49"/>
      <c r="C46" s="86"/>
      <c r="D46" s="50"/>
      <c r="E46" s="50"/>
      <c r="F46" s="50"/>
      <c r="G46" s="50"/>
      <c r="H46" s="47"/>
      <c r="I46" s="47"/>
      <c r="J46" s="47"/>
      <c r="K46" s="47"/>
      <c r="L46" s="47"/>
      <c r="M46" s="47"/>
      <c r="N46" s="47"/>
      <c r="O46" s="47"/>
    </row>
    <row r="47" spans="1:17" hidden="1">
      <c r="A47" s="47"/>
      <c r="B47" s="85"/>
      <c r="C47" s="87" t="s">
        <v>88</v>
      </c>
      <c r="D47" s="50"/>
      <c r="E47" s="50"/>
      <c r="F47" s="50"/>
      <c r="G47" s="50"/>
      <c r="H47" s="47"/>
      <c r="I47" s="47"/>
      <c r="J47" s="47"/>
      <c r="K47" s="47"/>
      <c r="L47" s="47"/>
      <c r="M47" s="47"/>
      <c r="N47" s="47"/>
      <c r="O47" s="47"/>
    </row>
    <row r="48" spans="1:17" hidden="1">
      <c r="A48" s="47"/>
      <c r="B48" s="85"/>
      <c r="C48" s="85"/>
      <c r="D48" s="50"/>
      <c r="E48" s="50"/>
      <c r="F48" s="50"/>
      <c r="G48" s="50"/>
      <c r="H48" s="47"/>
      <c r="I48" s="47"/>
      <c r="J48" s="47"/>
      <c r="K48" s="47"/>
      <c r="L48" s="47"/>
      <c r="M48" s="47"/>
      <c r="N48" s="47"/>
      <c r="O48" s="47"/>
    </row>
    <row r="49" spans="1:15" hidden="1">
      <c r="A49" s="47"/>
      <c r="B49" s="85"/>
      <c r="C49" s="85"/>
      <c r="D49" s="50"/>
      <c r="E49" s="50"/>
      <c r="F49" s="50"/>
      <c r="G49" s="50"/>
      <c r="H49" s="47"/>
      <c r="I49" s="47"/>
      <c r="J49" s="47"/>
      <c r="K49" s="47"/>
      <c r="L49" s="47"/>
      <c r="M49" s="47"/>
      <c r="N49" s="47"/>
      <c r="O49" s="47"/>
    </row>
    <row r="50" spans="1:15" hidden="1">
      <c r="A50" s="47"/>
      <c r="B50" s="85"/>
      <c r="C50" s="85"/>
      <c r="D50" s="50"/>
      <c r="E50" s="50"/>
      <c r="F50" s="50"/>
      <c r="G50" s="50"/>
      <c r="H50" s="47"/>
      <c r="I50" s="47"/>
      <c r="J50" s="47"/>
      <c r="K50" s="47"/>
      <c r="L50" s="47"/>
      <c r="M50" s="47"/>
      <c r="N50" s="47"/>
      <c r="O50" s="47"/>
    </row>
    <row r="51" spans="1:15" hidden="1">
      <c r="A51" s="47"/>
      <c r="B51" s="49"/>
      <c r="C51" s="49"/>
      <c r="D51" s="50"/>
      <c r="E51" s="50"/>
      <c r="F51" s="50"/>
      <c r="G51" s="50"/>
      <c r="H51" s="47"/>
      <c r="I51" s="47"/>
      <c r="J51" s="47"/>
      <c r="K51" s="47"/>
      <c r="L51" s="47"/>
      <c r="M51" s="47"/>
      <c r="N51" s="47"/>
      <c r="O51" s="47"/>
    </row>
    <row r="52" spans="1:15" hidden="1">
      <c r="A52" s="47"/>
      <c r="B52" s="49"/>
      <c r="C52" s="49"/>
      <c r="D52" s="50"/>
      <c r="E52" s="50"/>
      <c r="F52" s="50"/>
      <c r="G52" s="50"/>
      <c r="H52" s="47"/>
      <c r="I52" s="47"/>
      <c r="J52" s="47"/>
      <c r="K52" s="47"/>
      <c r="L52" s="47"/>
      <c r="M52" s="47"/>
      <c r="N52" s="47"/>
      <c r="O52" s="47"/>
    </row>
    <row r="53" spans="1:15">
      <c r="A53" s="47"/>
      <c r="B53" s="49"/>
      <c r="C53" s="88"/>
      <c r="D53" s="50"/>
      <c r="E53" s="50"/>
      <c r="F53" s="50"/>
      <c r="G53" s="50"/>
      <c r="H53" s="47"/>
      <c r="I53" s="47"/>
      <c r="J53" s="47"/>
      <c r="K53" s="47"/>
      <c r="L53" s="47"/>
      <c r="M53" s="47"/>
      <c r="N53" s="47"/>
      <c r="O53" s="47"/>
    </row>
    <row r="54" spans="1:15">
      <c r="C54"/>
    </row>
    <row r="55" spans="1:15">
      <c r="C55" s="89" t="s">
        <v>46</v>
      </c>
    </row>
    <row r="56" spans="1:15">
      <c r="C56"/>
    </row>
    <row r="57" spans="1:15">
      <c r="C57"/>
    </row>
    <row r="58" spans="1:15">
      <c r="C58" s="89" t="s">
        <v>47</v>
      </c>
    </row>
    <row r="59" spans="1:15">
      <c r="C59" s="89" t="s">
        <v>48</v>
      </c>
    </row>
  </sheetData>
  <mergeCells count="9">
    <mergeCell ref="A1:O1"/>
    <mergeCell ref="A2:O2"/>
    <mergeCell ref="A4:O4"/>
    <mergeCell ref="B5:O5"/>
    <mergeCell ref="A7:C7"/>
    <mergeCell ref="D7:F7"/>
    <mergeCell ref="G7:I7"/>
    <mergeCell ref="J7:L7"/>
    <mergeCell ref="M7:O7"/>
  </mergeCells>
  <pageMargins left="1.0090277777777801" right="0.65902777777777799" top="0.51875000000000004" bottom="0.38888888888888901" header="0.15902777777777799" footer="0.3"/>
  <pageSetup orientation="portrait" horizontalDpi="300" verticalDpi="300" r:id="rId1"/>
  <rowBreaks count="1" manualBreakCount="1">
    <brk id="5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3" sqref="D23"/>
    </sheetView>
  </sheetViews>
  <sheetFormatPr defaultColWidth="9" defaultRowHeight="15"/>
  <sheetData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3"/>
  <sheetViews>
    <sheetView topLeftCell="A63" workbookViewId="0">
      <selection activeCell="H102" sqref="H102"/>
    </sheetView>
  </sheetViews>
  <sheetFormatPr defaultColWidth="9" defaultRowHeight="15"/>
  <cols>
    <col min="1" max="1" width="10.85546875" customWidth="1"/>
    <col min="2" max="2" width="8.7109375" customWidth="1"/>
    <col min="3" max="3" width="18.28515625" style="4" customWidth="1"/>
    <col min="4" max="4" width="12.28515625" customWidth="1"/>
    <col min="5" max="5" width="10" customWidth="1"/>
    <col min="6" max="6" width="17.42578125" style="4" customWidth="1"/>
    <col min="8" max="8" width="11.28515625" customWidth="1"/>
    <col min="9" max="9" width="9.140625" customWidth="1"/>
    <col min="10" max="10" width="13.85546875" customWidth="1"/>
    <col min="11" max="11" width="11" customWidth="1"/>
    <col min="12" max="12" width="9.28515625" customWidth="1"/>
    <col min="13" max="13" width="16.28515625" customWidth="1"/>
    <col min="14" max="14" width="13.28515625" customWidth="1"/>
  </cols>
  <sheetData>
    <row r="1" spans="1:13">
      <c r="A1" t="s">
        <v>5</v>
      </c>
    </row>
    <row r="3" spans="1:13">
      <c r="A3" s="236" t="s">
        <v>89</v>
      </c>
      <c r="B3" s="236"/>
      <c r="C3" s="236"/>
      <c r="D3" s="236"/>
      <c r="E3" s="236"/>
      <c r="F3" s="236"/>
      <c r="H3" s="236" t="str">
        <f>[2]trb!$A$11</f>
        <v>Materials Inventory</v>
      </c>
      <c r="I3" s="236"/>
      <c r="J3" s="236"/>
      <c r="K3" s="236"/>
      <c r="L3" s="236"/>
      <c r="M3" s="236"/>
    </row>
    <row r="4" spans="1:13">
      <c r="A4" s="6"/>
      <c r="B4" s="6"/>
      <c r="C4" s="7"/>
      <c r="D4" s="8"/>
      <c r="E4" s="9"/>
      <c r="F4" s="7"/>
      <c r="H4" s="6"/>
      <c r="I4" s="6"/>
      <c r="J4" s="7"/>
      <c r="K4" s="8"/>
      <c r="L4" s="9"/>
      <c r="M4" s="7"/>
    </row>
    <row r="5" spans="1:13">
      <c r="A5" s="30" t="s">
        <v>90</v>
      </c>
      <c r="B5" s="6"/>
      <c r="C5" s="10">
        <v>3353769.74</v>
      </c>
      <c r="D5" s="32">
        <v>42422</v>
      </c>
      <c r="E5" s="31">
        <v>1</v>
      </c>
      <c r="F5" s="10">
        <v>45430.5</v>
      </c>
      <c r="H5" s="30" t="s">
        <v>90</v>
      </c>
      <c r="I5" s="6"/>
      <c r="J5" s="10">
        <v>2254978.3958762898</v>
      </c>
      <c r="K5" s="21">
        <v>42559</v>
      </c>
      <c r="L5" s="12">
        <v>52</v>
      </c>
      <c r="M5" s="13">
        <v>528841.18000000005</v>
      </c>
    </row>
    <row r="6" spans="1:13">
      <c r="A6" s="21">
        <v>42559</v>
      </c>
      <c r="B6" s="12">
        <v>52</v>
      </c>
      <c r="C6" s="10">
        <v>1143792.8999999999</v>
      </c>
      <c r="D6" s="21" t="s">
        <v>91</v>
      </c>
      <c r="E6" s="31">
        <v>2</v>
      </c>
      <c r="F6" s="13">
        <v>6631.5</v>
      </c>
      <c r="H6" s="29">
        <v>42422</v>
      </c>
      <c r="I6" s="12">
        <v>1</v>
      </c>
      <c r="J6" s="13">
        <v>45430.5</v>
      </c>
      <c r="K6" s="21" t="s">
        <v>91</v>
      </c>
      <c r="L6" s="12">
        <v>53</v>
      </c>
      <c r="M6" s="13">
        <v>423517.43</v>
      </c>
    </row>
    <row r="7" spans="1:13">
      <c r="A7" s="22" t="s">
        <v>91</v>
      </c>
      <c r="B7" s="14">
        <v>53</v>
      </c>
      <c r="C7" s="10">
        <v>864724.5</v>
      </c>
      <c r="D7" s="21" t="s">
        <v>91</v>
      </c>
      <c r="E7" s="31">
        <v>3</v>
      </c>
      <c r="F7" s="13">
        <v>600</v>
      </c>
      <c r="H7" s="29">
        <v>42431</v>
      </c>
      <c r="I7" s="12">
        <v>5</v>
      </c>
      <c r="J7" s="13">
        <v>20200</v>
      </c>
      <c r="K7" s="21" t="s">
        <v>91</v>
      </c>
      <c r="L7" s="14">
        <v>54</v>
      </c>
      <c r="M7" s="10">
        <v>867336.05</v>
      </c>
    </row>
    <row r="8" spans="1:13">
      <c r="A8" s="22" t="s">
        <v>91</v>
      </c>
      <c r="B8" s="12">
        <v>54</v>
      </c>
      <c r="C8" s="10">
        <v>1712278.6</v>
      </c>
      <c r="D8" s="21" t="s">
        <v>91</v>
      </c>
      <c r="E8" s="12">
        <v>4</v>
      </c>
      <c r="F8" s="13">
        <v>1290</v>
      </c>
      <c r="H8" s="29" t="s">
        <v>91</v>
      </c>
      <c r="I8" s="12">
        <v>6</v>
      </c>
      <c r="J8" s="13">
        <v>52480</v>
      </c>
      <c r="K8" s="21">
        <v>42715</v>
      </c>
      <c r="L8" s="12">
        <v>100</v>
      </c>
      <c r="M8" s="13">
        <v>418213.99</v>
      </c>
    </row>
    <row r="9" spans="1:13">
      <c r="A9" s="21">
        <v>42715</v>
      </c>
      <c r="B9" s="12">
        <v>100</v>
      </c>
      <c r="C9" s="13">
        <v>917340.65</v>
      </c>
      <c r="D9" s="21">
        <v>42431</v>
      </c>
      <c r="E9" s="12">
        <v>5</v>
      </c>
      <c r="F9" s="13">
        <v>20200</v>
      </c>
      <c r="H9" s="29" t="s">
        <v>91</v>
      </c>
      <c r="I9" s="14">
        <v>7</v>
      </c>
      <c r="J9" s="10">
        <v>56530</v>
      </c>
      <c r="K9" s="21" t="s">
        <v>91</v>
      </c>
      <c r="L9" s="12">
        <v>101</v>
      </c>
      <c r="M9" s="13">
        <v>352788.27</v>
      </c>
    </row>
    <row r="10" spans="1:13">
      <c r="A10" s="22" t="s">
        <v>91</v>
      </c>
      <c r="B10" s="14">
        <v>101</v>
      </c>
      <c r="C10" s="10">
        <v>729393.95</v>
      </c>
      <c r="D10" s="21" t="s">
        <v>91</v>
      </c>
      <c r="E10" s="12">
        <v>6</v>
      </c>
      <c r="F10" s="13">
        <v>52480</v>
      </c>
      <c r="H10" s="29">
        <v>42433</v>
      </c>
      <c r="I10" s="12">
        <v>11</v>
      </c>
      <c r="J10" s="13">
        <v>63940</v>
      </c>
      <c r="K10" s="21">
        <v>42735</v>
      </c>
      <c r="L10" s="12">
        <v>104</v>
      </c>
      <c r="M10" s="13">
        <v>57885.63</v>
      </c>
    </row>
    <row r="11" spans="1:13">
      <c r="A11" s="22">
        <v>42735</v>
      </c>
      <c r="B11" s="14">
        <v>104</v>
      </c>
      <c r="C11" s="10">
        <v>117524.1</v>
      </c>
      <c r="D11" s="21" t="s">
        <v>91</v>
      </c>
      <c r="E11" s="12">
        <v>7</v>
      </c>
      <c r="F11" s="13">
        <v>56530</v>
      </c>
      <c r="H11" s="29">
        <v>42473</v>
      </c>
      <c r="I11" s="12">
        <v>19</v>
      </c>
      <c r="J11" s="13">
        <v>62515</v>
      </c>
      <c r="K11" s="21"/>
      <c r="L11" s="12">
        <v>105</v>
      </c>
      <c r="M11" s="13">
        <v>50904.7</v>
      </c>
    </row>
    <row r="12" spans="1:13">
      <c r="A12" s="22" t="s">
        <v>91</v>
      </c>
      <c r="B12" s="14">
        <v>105</v>
      </c>
      <c r="C12" s="10">
        <v>91687.65</v>
      </c>
      <c r="D12" s="21" t="s">
        <v>91</v>
      </c>
      <c r="E12" s="12">
        <v>8</v>
      </c>
      <c r="F12" s="13">
        <v>47489.4</v>
      </c>
      <c r="H12" s="22" t="s">
        <v>91</v>
      </c>
      <c r="I12" s="14">
        <v>21</v>
      </c>
      <c r="J12" s="10">
        <v>65820</v>
      </c>
      <c r="K12" s="21"/>
      <c r="L12" s="12">
        <v>108</v>
      </c>
      <c r="M12" s="13">
        <v>781418.82</v>
      </c>
    </row>
    <row r="13" spans="1:13">
      <c r="A13" s="22" t="s">
        <v>91</v>
      </c>
      <c r="B13" s="14">
        <v>108</v>
      </c>
      <c r="C13" s="10">
        <v>1599809.7</v>
      </c>
      <c r="D13" s="21" t="s">
        <v>91</v>
      </c>
      <c r="E13" s="12">
        <v>9</v>
      </c>
      <c r="F13" s="13">
        <v>5056.79</v>
      </c>
      <c r="H13" s="22" t="s">
        <v>91</v>
      </c>
      <c r="I13" s="14">
        <v>22</v>
      </c>
      <c r="J13" s="10">
        <v>64331.8</v>
      </c>
      <c r="K13" s="21"/>
      <c r="L13" s="12"/>
      <c r="M13" s="13"/>
    </row>
    <row r="14" spans="1:13">
      <c r="A14" s="22"/>
      <c r="B14" s="14"/>
      <c r="C14" s="10"/>
      <c r="D14" s="21">
        <v>42433</v>
      </c>
      <c r="E14" s="12">
        <v>10</v>
      </c>
      <c r="F14" s="13">
        <v>54096</v>
      </c>
      <c r="H14" s="22" t="s">
        <v>91</v>
      </c>
      <c r="I14" s="14">
        <v>23</v>
      </c>
      <c r="J14" s="10">
        <v>74500</v>
      </c>
      <c r="K14" s="21"/>
      <c r="L14" s="12"/>
      <c r="M14" s="13"/>
    </row>
    <row r="15" spans="1:13">
      <c r="A15" s="22"/>
      <c r="B15" s="14"/>
      <c r="C15" s="10"/>
      <c r="D15" s="21" t="s">
        <v>91</v>
      </c>
      <c r="E15" s="12">
        <v>11</v>
      </c>
      <c r="F15" s="13">
        <v>63940</v>
      </c>
      <c r="H15" s="22" t="s">
        <v>91</v>
      </c>
      <c r="I15" s="14">
        <v>24</v>
      </c>
      <c r="J15" s="10">
        <v>110</v>
      </c>
      <c r="K15" s="21"/>
      <c r="L15" s="12"/>
      <c r="M15" s="13"/>
    </row>
    <row r="16" spans="1:13">
      <c r="A16" s="22"/>
      <c r="B16" s="14"/>
      <c r="C16" s="10"/>
      <c r="D16" s="21" t="s">
        <v>91</v>
      </c>
      <c r="E16" s="12">
        <v>12</v>
      </c>
      <c r="F16" s="13">
        <v>300</v>
      </c>
      <c r="H16" s="22">
        <v>42489</v>
      </c>
      <c r="I16" s="14">
        <v>27</v>
      </c>
      <c r="J16" s="10">
        <v>27943.08</v>
      </c>
      <c r="K16" s="21"/>
      <c r="L16" s="12"/>
      <c r="M16" s="13"/>
    </row>
    <row r="17" spans="1:13">
      <c r="A17" s="22"/>
      <c r="B17" s="14"/>
      <c r="C17" s="10"/>
      <c r="D17" s="21" t="s">
        <v>91</v>
      </c>
      <c r="E17" s="12">
        <v>13</v>
      </c>
      <c r="F17" s="13">
        <v>1290</v>
      </c>
      <c r="H17" s="22">
        <v>42528</v>
      </c>
      <c r="I17" s="14">
        <v>31</v>
      </c>
      <c r="J17" s="10">
        <v>61700</v>
      </c>
      <c r="K17" s="21"/>
      <c r="L17" s="12"/>
      <c r="M17" s="13"/>
    </row>
    <row r="18" spans="1:13">
      <c r="A18" s="22"/>
      <c r="B18" s="14"/>
      <c r="C18" s="10"/>
      <c r="D18" s="21" t="s">
        <v>91</v>
      </c>
      <c r="E18" s="12">
        <v>14</v>
      </c>
      <c r="F18" s="13">
        <v>500</v>
      </c>
      <c r="H18" s="22" t="s">
        <v>91</v>
      </c>
      <c r="I18" s="14">
        <v>35</v>
      </c>
      <c r="J18" s="10">
        <v>128330</v>
      </c>
      <c r="K18" s="21"/>
      <c r="L18" s="12"/>
      <c r="M18" s="13"/>
    </row>
    <row r="19" spans="1:13">
      <c r="A19" s="22"/>
      <c r="B19" s="14"/>
      <c r="C19" s="10"/>
      <c r="D19" s="21">
        <v>42473</v>
      </c>
      <c r="E19" s="12">
        <v>15</v>
      </c>
      <c r="F19" s="13">
        <v>300</v>
      </c>
      <c r="H19" s="29">
        <v>42538</v>
      </c>
      <c r="I19" s="33">
        <v>36</v>
      </c>
      <c r="J19" s="13">
        <v>102100</v>
      </c>
      <c r="K19" s="21"/>
      <c r="L19" s="12"/>
      <c r="M19" s="13"/>
    </row>
    <row r="20" spans="1:13">
      <c r="A20" s="22"/>
      <c r="B20" s="14"/>
      <c r="C20" s="10"/>
      <c r="D20" s="21" t="s">
        <v>91</v>
      </c>
      <c r="E20" s="12">
        <v>16</v>
      </c>
      <c r="F20" s="13">
        <v>30102</v>
      </c>
      <c r="H20" s="29" t="s">
        <v>91</v>
      </c>
      <c r="I20" s="14">
        <v>37</v>
      </c>
      <c r="J20" s="10">
        <v>76110</v>
      </c>
      <c r="K20" s="21"/>
      <c r="L20" s="12"/>
      <c r="M20" s="13"/>
    </row>
    <row r="21" spans="1:13">
      <c r="A21" s="22"/>
      <c r="B21" s="14"/>
      <c r="C21" s="10"/>
      <c r="D21" s="21" t="s">
        <v>91</v>
      </c>
      <c r="E21" s="12">
        <v>17</v>
      </c>
      <c r="F21" s="13">
        <v>132280</v>
      </c>
      <c r="H21" s="29">
        <v>42566</v>
      </c>
      <c r="I21" s="14">
        <v>43</v>
      </c>
      <c r="J21" s="10">
        <v>34000</v>
      </c>
      <c r="K21" s="21"/>
      <c r="L21" s="12"/>
      <c r="M21" s="13"/>
    </row>
    <row r="22" spans="1:13">
      <c r="A22" s="22"/>
      <c r="B22" s="14"/>
      <c r="C22" s="10"/>
      <c r="D22" s="21" t="s">
        <v>91</v>
      </c>
      <c r="E22" s="12">
        <v>18</v>
      </c>
      <c r="F22" s="13">
        <v>1290</v>
      </c>
      <c r="H22" s="22" t="s">
        <v>91</v>
      </c>
      <c r="I22" s="14">
        <v>45</v>
      </c>
      <c r="J22" s="10">
        <v>65820</v>
      </c>
      <c r="K22" s="21"/>
      <c r="L22" s="12"/>
      <c r="M22" s="13"/>
    </row>
    <row r="23" spans="1:13">
      <c r="A23" s="22"/>
      <c r="B23" s="14"/>
      <c r="C23" s="10"/>
      <c r="D23" s="21" t="s">
        <v>91</v>
      </c>
      <c r="E23" s="12">
        <v>19</v>
      </c>
      <c r="F23" s="13">
        <v>62515</v>
      </c>
      <c r="H23" s="22">
        <v>42578</v>
      </c>
      <c r="I23" s="14">
        <v>55</v>
      </c>
      <c r="J23" s="10">
        <v>123880</v>
      </c>
      <c r="K23" s="21"/>
      <c r="L23" s="12"/>
      <c r="M23" s="13"/>
    </row>
    <row r="24" spans="1:13">
      <c r="A24" s="22"/>
      <c r="B24" s="14"/>
      <c r="C24" s="10"/>
      <c r="D24" s="21" t="s">
        <v>91</v>
      </c>
      <c r="E24" s="12">
        <v>20</v>
      </c>
      <c r="F24" s="13">
        <v>54096</v>
      </c>
      <c r="H24" s="22" t="s">
        <v>91</v>
      </c>
      <c r="I24" s="12">
        <v>56</v>
      </c>
      <c r="J24" s="13">
        <v>132500</v>
      </c>
      <c r="K24" s="21"/>
      <c r="L24" s="12"/>
      <c r="M24" s="13"/>
    </row>
    <row r="25" spans="1:13">
      <c r="A25" s="22"/>
      <c r="B25" s="14"/>
      <c r="C25" s="10"/>
      <c r="D25" s="21" t="s">
        <v>91</v>
      </c>
      <c r="E25" s="12">
        <v>21</v>
      </c>
      <c r="F25" s="13">
        <v>65820</v>
      </c>
      <c r="H25" s="29" t="s">
        <v>91</v>
      </c>
      <c r="I25" s="12">
        <v>58</v>
      </c>
      <c r="J25" s="10">
        <v>65820</v>
      </c>
      <c r="K25" s="21"/>
      <c r="L25" s="12"/>
      <c r="M25" s="13"/>
    </row>
    <row r="26" spans="1:13">
      <c r="A26" s="22"/>
      <c r="B26" s="14"/>
      <c r="C26" s="10"/>
      <c r="D26" s="21" t="s">
        <v>91</v>
      </c>
      <c r="E26" s="12">
        <v>22</v>
      </c>
      <c r="F26" s="13">
        <v>64331.8</v>
      </c>
      <c r="H26" s="22">
        <v>42601</v>
      </c>
      <c r="I26" s="14">
        <v>66</v>
      </c>
      <c r="J26" s="10">
        <v>42500</v>
      </c>
      <c r="K26" s="11"/>
      <c r="L26" s="12"/>
      <c r="M26" s="13"/>
    </row>
    <row r="27" spans="1:13">
      <c r="A27" s="22"/>
      <c r="B27" s="14"/>
      <c r="C27" s="10"/>
      <c r="D27" s="21" t="s">
        <v>91</v>
      </c>
      <c r="E27" s="12">
        <v>23</v>
      </c>
      <c r="F27" s="13">
        <v>74500</v>
      </c>
      <c r="H27" s="29">
        <v>42608</v>
      </c>
      <c r="I27" s="14">
        <v>67</v>
      </c>
      <c r="J27" s="13">
        <v>17000</v>
      </c>
      <c r="K27" s="11"/>
      <c r="L27" s="12"/>
      <c r="M27" s="13"/>
    </row>
    <row r="28" spans="1:13">
      <c r="A28" s="22"/>
      <c r="B28" s="14"/>
      <c r="C28" s="10"/>
      <c r="D28" s="21" t="s">
        <v>91</v>
      </c>
      <c r="E28" s="12">
        <v>24</v>
      </c>
      <c r="F28" s="13">
        <v>110</v>
      </c>
      <c r="H28" s="29">
        <v>42608</v>
      </c>
      <c r="I28" s="14">
        <v>68</v>
      </c>
      <c r="J28" s="13">
        <v>45610</v>
      </c>
      <c r="K28" s="11"/>
      <c r="L28" s="12"/>
      <c r="M28" s="13"/>
    </row>
    <row r="29" spans="1:13">
      <c r="A29" s="22"/>
      <c r="B29" s="14"/>
      <c r="C29" s="10"/>
      <c r="D29" s="21">
        <v>42489</v>
      </c>
      <c r="E29" s="12">
        <v>25</v>
      </c>
      <c r="F29" s="13">
        <v>1290</v>
      </c>
      <c r="H29" s="22">
        <v>42646</v>
      </c>
      <c r="I29" s="14">
        <v>76</v>
      </c>
      <c r="J29" s="10">
        <v>60450</v>
      </c>
      <c r="K29" s="11"/>
      <c r="L29" s="12"/>
      <c r="M29" s="13"/>
    </row>
    <row r="30" spans="1:13">
      <c r="A30" s="14"/>
      <c r="B30" s="14"/>
      <c r="C30" s="10"/>
      <c r="D30" s="21" t="s">
        <v>91</v>
      </c>
      <c r="E30" s="12">
        <v>26</v>
      </c>
      <c r="F30" s="13">
        <v>1850</v>
      </c>
      <c r="H30" s="22" t="s">
        <v>91</v>
      </c>
      <c r="I30" s="14">
        <v>77</v>
      </c>
      <c r="J30" s="10">
        <v>110550</v>
      </c>
      <c r="K30" s="11"/>
      <c r="L30" s="12"/>
      <c r="M30" s="13"/>
    </row>
    <row r="31" spans="1:13">
      <c r="A31" s="14"/>
      <c r="B31" s="14"/>
      <c r="C31" s="10"/>
      <c r="D31" s="21" t="s">
        <v>91</v>
      </c>
      <c r="E31" s="12">
        <v>27</v>
      </c>
      <c r="F31" s="13">
        <v>27943.08</v>
      </c>
      <c r="H31" s="22">
        <v>42713</v>
      </c>
      <c r="I31" s="14">
        <v>95</v>
      </c>
      <c r="J31" s="10">
        <v>60200</v>
      </c>
      <c r="K31" s="11"/>
      <c r="L31" s="12"/>
      <c r="M31" s="13"/>
    </row>
    <row r="32" spans="1:13">
      <c r="A32" s="14"/>
      <c r="B32" s="14"/>
      <c r="C32" s="10"/>
      <c r="D32" s="21">
        <v>42505</v>
      </c>
      <c r="E32" s="12">
        <v>29</v>
      </c>
      <c r="F32" s="13">
        <v>129205.31</v>
      </c>
      <c r="H32" s="22" t="s">
        <v>91</v>
      </c>
      <c r="I32" s="14">
        <v>96</v>
      </c>
      <c r="J32" s="10">
        <v>61425</v>
      </c>
      <c r="K32" s="11"/>
      <c r="L32" s="12"/>
      <c r="M32" s="13"/>
    </row>
    <row r="33" spans="1:13">
      <c r="A33" s="14"/>
      <c r="B33" s="14"/>
      <c r="C33" s="10"/>
      <c r="D33" s="21">
        <v>42528</v>
      </c>
      <c r="E33" s="12">
        <v>30</v>
      </c>
      <c r="F33" s="13">
        <v>1290</v>
      </c>
      <c r="H33" s="22">
        <v>42735</v>
      </c>
      <c r="I33" s="14">
        <v>114</v>
      </c>
      <c r="J33" s="10">
        <v>167520</v>
      </c>
      <c r="K33" s="11"/>
      <c r="L33" s="12"/>
      <c r="M33" s="13"/>
    </row>
    <row r="34" spans="1:13">
      <c r="A34" s="14"/>
      <c r="B34" s="14"/>
      <c r="C34" s="10"/>
      <c r="D34" s="21" t="s">
        <v>91</v>
      </c>
      <c r="E34" s="12">
        <v>31</v>
      </c>
      <c r="F34" s="13">
        <v>61700</v>
      </c>
      <c r="H34" s="14" t="s">
        <v>91</v>
      </c>
      <c r="I34" s="14">
        <v>116</v>
      </c>
      <c r="J34" s="10">
        <v>167698</v>
      </c>
      <c r="K34" s="11"/>
      <c r="L34" s="12"/>
      <c r="M34" s="13"/>
    </row>
    <row r="35" spans="1:13">
      <c r="A35" s="14"/>
      <c r="B35" s="14"/>
      <c r="C35" s="10"/>
      <c r="D35" s="21" t="s">
        <v>91</v>
      </c>
      <c r="E35" s="12">
        <v>32</v>
      </c>
      <c r="F35" s="13">
        <v>300</v>
      </c>
      <c r="H35" s="22" t="s">
        <v>91</v>
      </c>
      <c r="I35" s="14">
        <v>117</v>
      </c>
      <c r="J35" s="10">
        <v>103841.5</v>
      </c>
      <c r="K35" s="11"/>
      <c r="L35" s="12"/>
      <c r="M35" s="13"/>
    </row>
    <row r="36" spans="1:13">
      <c r="A36" s="14"/>
      <c r="B36" s="14"/>
      <c r="C36" s="10"/>
      <c r="D36" s="21" t="s">
        <v>91</v>
      </c>
      <c r="E36" s="12">
        <v>33</v>
      </c>
      <c r="F36" s="13">
        <v>66811.199999999997</v>
      </c>
      <c r="H36" s="22"/>
      <c r="I36" s="14"/>
      <c r="J36" s="10"/>
      <c r="K36" s="11"/>
      <c r="L36" s="12"/>
      <c r="M36" s="13"/>
    </row>
    <row r="37" spans="1:13">
      <c r="A37" s="14"/>
      <c r="B37" s="14"/>
      <c r="C37" s="10"/>
      <c r="D37" s="21" t="s">
        <v>91</v>
      </c>
      <c r="E37" s="12">
        <v>34</v>
      </c>
      <c r="F37" s="13">
        <v>10920</v>
      </c>
      <c r="H37" s="22"/>
      <c r="I37" s="14"/>
      <c r="J37" s="10"/>
      <c r="K37" s="11"/>
      <c r="L37" s="12"/>
      <c r="M37" s="13"/>
    </row>
    <row r="38" spans="1:13">
      <c r="A38" s="14"/>
      <c r="B38" s="14"/>
      <c r="C38" s="10"/>
      <c r="D38" s="21" t="s">
        <v>91</v>
      </c>
      <c r="E38" s="12">
        <v>35</v>
      </c>
      <c r="F38" s="13">
        <v>128330</v>
      </c>
      <c r="H38" s="22"/>
      <c r="I38" s="14"/>
      <c r="J38" s="10"/>
      <c r="K38" s="11"/>
      <c r="L38" s="12"/>
      <c r="M38" s="13"/>
    </row>
    <row r="39" spans="1:13">
      <c r="A39" s="14"/>
      <c r="B39" s="14"/>
      <c r="C39" s="10"/>
      <c r="D39" s="21">
        <v>42538</v>
      </c>
      <c r="E39" s="12">
        <v>36</v>
      </c>
      <c r="F39" s="13">
        <v>102100</v>
      </c>
      <c r="H39" s="22"/>
      <c r="I39" s="14"/>
      <c r="J39" s="10"/>
      <c r="K39" s="11"/>
      <c r="L39" s="12"/>
      <c r="M39" s="13"/>
    </row>
    <row r="40" spans="1:13">
      <c r="A40" s="14"/>
      <c r="B40" s="14"/>
      <c r="C40" s="10"/>
      <c r="D40" s="21" t="s">
        <v>91</v>
      </c>
      <c r="E40" s="12">
        <v>37</v>
      </c>
      <c r="F40" s="13">
        <v>76110</v>
      </c>
      <c r="H40" s="22"/>
      <c r="I40" s="14"/>
      <c r="J40" s="10"/>
      <c r="K40" s="11"/>
      <c r="L40" s="12"/>
      <c r="M40" s="13"/>
    </row>
    <row r="41" spans="1:13">
      <c r="A41" s="14"/>
      <c r="B41" s="14"/>
      <c r="C41" s="10"/>
      <c r="D41" s="21">
        <v>42552</v>
      </c>
      <c r="E41" s="12">
        <v>38</v>
      </c>
      <c r="F41" s="13">
        <v>9325.6</v>
      </c>
      <c r="H41" s="22"/>
      <c r="I41" s="14"/>
      <c r="J41" s="10"/>
      <c r="K41" s="11"/>
      <c r="L41" s="12"/>
      <c r="M41" s="13"/>
    </row>
    <row r="42" spans="1:13">
      <c r="A42" s="14"/>
      <c r="B42" s="14"/>
      <c r="C42" s="10"/>
      <c r="D42" s="21" t="s">
        <v>91</v>
      </c>
      <c r="E42" s="14">
        <v>39</v>
      </c>
      <c r="F42" s="10">
        <v>300</v>
      </c>
      <c r="H42" s="22"/>
      <c r="I42" s="14"/>
      <c r="J42" s="10"/>
      <c r="K42" s="11"/>
      <c r="L42" s="12"/>
      <c r="M42" s="13"/>
    </row>
    <row r="43" spans="1:13">
      <c r="A43" s="14"/>
      <c r="B43" s="14"/>
      <c r="C43" s="10"/>
      <c r="D43" s="21" t="s">
        <v>91</v>
      </c>
      <c r="E43" s="14">
        <v>40</v>
      </c>
      <c r="F43" s="10">
        <v>19008</v>
      </c>
      <c r="H43" s="22"/>
      <c r="I43" s="14"/>
      <c r="J43" s="10"/>
      <c r="K43" s="11"/>
      <c r="L43" s="12"/>
      <c r="M43" s="13"/>
    </row>
    <row r="44" spans="1:13">
      <c r="A44" s="14"/>
      <c r="B44" s="14"/>
      <c r="C44" s="10"/>
      <c r="D44" s="21" t="s">
        <v>91</v>
      </c>
      <c r="E44" s="14">
        <v>41</v>
      </c>
      <c r="F44" s="10">
        <v>12710.88</v>
      </c>
      <c r="H44" s="22"/>
      <c r="I44" s="14"/>
      <c r="J44" s="10"/>
      <c r="K44" s="11"/>
      <c r="L44" s="12"/>
      <c r="M44" s="13"/>
    </row>
    <row r="45" spans="1:13">
      <c r="A45" s="14"/>
      <c r="B45" s="14"/>
      <c r="C45" s="10"/>
      <c r="D45" s="21">
        <v>42566</v>
      </c>
      <c r="E45" s="14">
        <v>42</v>
      </c>
      <c r="F45" s="10">
        <v>300</v>
      </c>
      <c r="H45" s="22"/>
      <c r="I45" s="14"/>
      <c r="J45" s="10"/>
      <c r="K45" s="11"/>
      <c r="L45" s="12"/>
      <c r="M45" s="13"/>
    </row>
    <row r="46" spans="1:13">
      <c r="A46" s="14"/>
      <c r="B46" s="14"/>
      <c r="C46" s="10"/>
      <c r="D46" s="21" t="s">
        <v>91</v>
      </c>
      <c r="E46" s="14">
        <v>43</v>
      </c>
      <c r="F46" s="10">
        <v>34000</v>
      </c>
      <c r="H46" s="22"/>
      <c r="I46" s="14"/>
      <c r="J46" s="10"/>
      <c r="K46" s="11"/>
      <c r="L46" s="12"/>
      <c r="M46" s="13"/>
    </row>
    <row r="47" spans="1:13">
      <c r="A47" s="14"/>
      <c r="B47" s="14"/>
      <c r="C47" s="10"/>
      <c r="D47" s="21" t="s">
        <v>91</v>
      </c>
      <c r="E47" s="14">
        <v>44</v>
      </c>
      <c r="F47" s="10">
        <v>2485</v>
      </c>
      <c r="H47" s="14"/>
      <c r="I47" s="14"/>
      <c r="J47" s="10"/>
      <c r="K47" s="11"/>
      <c r="L47" s="12"/>
      <c r="M47" s="13"/>
    </row>
    <row r="48" spans="1:13">
      <c r="A48" s="14"/>
      <c r="B48" s="14"/>
      <c r="C48" s="10"/>
      <c r="D48" s="21" t="s">
        <v>91</v>
      </c>
      <c r="E48" s="14">
        <v>45</v>
      </c>
      <c r="F48" s="10">
        <v>65820</v>
      </c>
      <c r="H48" s="14"/>
      <c r="I48" s="14"/>
      <c r="J48" s="10"/>
      <c r="K48" s="11"/>
      <c r="L48" s="12"/>
      <c r="M48" s="13"/>
    </row>
    <row r="49" spans="1:13">
      <c r="A49" s="14"/>
      <c r="B49" s="14"/>
      <c r="C49" s="10"/>
      <c r="D49" s="21" t="s">
        <v>91</v>
      </c>
      <c r="E49" s="14">
        <v>46</v>
      </c>
      <c r="F49" s="10">
        <v>4546.25</v>
      </c>
      <c r="H49" s="14"/>
      <c r="I49" s="14"/>
      <c r="J49" s="10"/>
      <c r="K49" s="11"/>
      <c r="L49" s="12"/>
      <c r="M49" s="13"/>
    </row>
    <row r="50" spans="1:13">
      <c r="A50" s="14"/>
      <c r="B50" s="14"/>
      <c r="C50" s="10"/>
      <c r="D50" s="21" t="s">
        <v>91</v>
      </c>
      <c r="E50" s="14">
        <v>47</v>
      </c>
      <c r="F50" s="10">
        <v>7700.33</v>
      </c>
      <c r="H50" s="14"/>
      <c r="I50" s="14"/>
      <c r="J50" s="10"/>
      <c r="K50" s="11"/>
      <c r="L50" s="12"/>
      <c r="M50" s="13"/>
    </row>
    <row r="51" spans="1:13">
      <c r="A51" s="14"/>
      <c r="B51" s="14"/>
      <c r="C51" s="10"/>
      <c r="D51" s="21" t="s">
        <v>91</v>
      </c>
      <c r="E51" s="14">
        <v>48</v>
      </c>
      <c r="F51" s="10">
        <v>6149.81</v>
      </c>
      <c r="H51" s="14"/>
      <c r="I51" s="14"/>
      <c r="J51" s="10"/>
      <c r="K51" s="11"/>
      <c r="L51" s="12"/>
      <c r="M51" s="13"/>
    </row>
    <row r="52" spans="1:13">
      <c r="A52" s="14"/>
      <c r="B52" s="14"/>
      <c r="C52" s="10"/>
      <c r="D52" s="21" t="s">
        <v>91</v>
      </c>
      <c r="E52" s="14">
        <v>49</v>
      </c>
      <c r="F52" s="10">
        <v>9006.24</v>
      </c>
      <c r="H52" s="14"/>
      <c r="I52" s="14"/>
      <c r="J52" s="10"/>
      <c r="K52" s="11"/>
      <c r="L52" s="12"/>
      <c r="M52" s="13"/>
    </row>
    <row r="53" spans="1:13">
      <c r="A53" s="14"/>
      <c r="B53" s="14"/>
      <c r="C53" s="10"/>
      <c r="D53" s="21" t="s">
        <v>91</v>
      </c>
      <c r="E53" s="14">
        <v>50</v>
      </c>
      <c r="F53" s="10">
        <v>19008</v>
      </c>
      <c r="H53" s="14"/>
      <c r="I53" s="14"/>
      <c r="J53" s="10"/>
      <c r="K53" s="11"/>
      <c r="L53" s="12"/>
      <c r="M53" s="13"/>
    </row>
    <row r="54" spans="1:13">
      <c r="A54" s="14"/>
      <c r="B54" s="14"/>
      <c r="C54" s="10"/>
      <c r="D54" s="21" t="s">
        <v>91</v>
      </c>
      <c r="E54" s="14">
        <v>51</v>
      </c>
      <c r="F54" s="10">
        <v>29928</v>
      </c>
      <c r="H54" s="14"/>
      <c r="I54" s="14"/>
      <c r="J54" s="10"/>
      <c r="K54" s="11"/>
      <c r="L54" s="12"/>
      <c r="M54" s="13"/>
    </row>
    <row r="55" spans="1:13">
      <c r="A55" s="14"/>
      <c r="B55" s="14"/>
      <c r="C55" s="10"/>
      <c r="D55" s="21">
        <v>42578</v>
      </c>
      <c r="E55" s="14">
        <v>55</v>
      </c>
      <c r="F55" s="10">
        <v>123880</v>
      </c>
      <c r="H55" s="14"/>
      <c r="I55" s="14"/>
      <c r="J55" s="10"/>
      <c r="K55" s="11"/>
      <c r="L55" s="12"/>
      <c r="M55" s="13"/>
    </row>
    <row r="56" spans="1:13">
      <c r="A56" s="14"/>
      <c r="B56" s="14"/>
      <c r="C56" s="10"/>
      <c r="D56" s="21" t="s">
        <v>91</v>
      </c>
      <c r="E56" s="14">
        <v>56</v>
      </c>
      <c r="F56" s="10">
        <v>132500</v>
      </c>
      <c r="H56" s="14"/>
      <c r="I56" s="14"/>
      <c r="J56" s="10"/>
      <c r="K56" s="11"/>
      <c r="L56" s="12"/>
      <c r="M56" s="13"/>
    </row>
    <row r="57" spans="1:13">
      <c r="A57" s="14"/>
      <c r="B57" s="14"/>
      <c r="C57" s="10"/>
      <c r="D57" s="21" t="s">
        <v>91</v>
      </c>
      <c r="E57" s="14">
        <v>57</v>
      </c>
      <c r="F57" s="10">
        <v>1290</v>
      </c>
      <c r="H57" s="14"/>
      <c r="I57" s="14"/>
      <c r="J57" s="10"/>
      <c r="K57" s="11"/>
      <c r="L57" s="12"/>
      <c r="M57" s="13"/>
    </row>
    <row r="58" spans="1:13">
      <c r="A58" s="14"/>
      <c r="B58" s="14"/>
      <c r="C58" s="10"/>
      <c r="D58" s="21" t="s">
        <v>91</v>
      </c>
      <c r="E58" s="14">
        <v>58</v>
      </c>
      <c r="F58" s="10">
        <v>65820</v>
      </c>
      <c r="H58" s="14"/>
      <c r="I58" s="14"/>
      <c r="J58" s="10"/>
      <c r="K58" s="11"/>
      <c r="L58" s="12"/>
      <c r="M58" s="13"/>
    </row>
    <row r="59" spans="1:13">
      <c r="A59" s="14"/>
      <c r="B59" s="14"/>
      <c r="C59" s="10"/>
      <c r="D59" s="21">
        <v>42589</v>
      </c>
      <c r="E59" s="14">
        <v>60</v>
      </c>
      <c r="F59" s="10">
        <v>59132.61</v>
      </c>
      <c r="H59" s="14"/>
      <c r="I59" s="14"/>
      <c r="J59" s="10"/>
      <c r="K59" s="11"/>
      <c r="L59" s="12"/>
      <c r="M59" s="13"/>
    </row>
    <row r="60" spans="1:13">
      <c r="A60" s="14"/>
      <c r="B60" s="14"/>
      <c r="C60" s="10"/>
      <c r="D60" s="21">
        <v>42601</v>
      </c>
      <c r="E60" s="14">
        <v>61</v>
      </c>
      <c r="F60" s="10">
        <v>2354.33</v>
      </c>
      <c r="H60" s="14"/>
      <c r="I60" s="14"/>
      <c r="J60" s="10"/>
      <c r="K60" s="11"/>
      <c r="L60" s="12"/>
      <c r="M60" s="13"/>
    </row>
    <row r="61" spans="1:13">
      <c r="A61" s="14"/>
      <c r="B61" s="14"/>
      <c r="C61" s="10"/>
      <c r="D61" s="21" t="s">
        <v>91</v>
      </c>
      <c r="E61" s="12">
        <v>62</v>
      </c>
      <c r="F61" s="10">
        <v>2368.5</v>
      </c>
      <c r="H61" s="14"/>
      <c r="I61" s="14"/>
      <c r="J61" s="10"/>
      <c r="K61" s="11"/>
      <c r="L61" s="12"/>
      <c r="M61" s="13"/>
    </row>
    <row r="62" spans="1:13">
      <c r="A62" s="14"/>
      <c r="B62" s="14"/>
      <c r="C62" s="10"/>
      <c r="D62" s="21" t="s">
        <v>91</v>
      </c>
      <c r="E62" s="12">
        <v>63</v>
      </c>
      <c r="F62" s="13">
        <v>1699.3</v>
      </c>
      <c r="H62" s="14"/>
      <c r="I62" s="14"/>
      <c r="J62" s="10"/>
      <c r="K62" s="11"/>
      <c r="L62" s="12"/>
      <c r="M62" s="13"/>
    </row>
    <row r="63" spans="1:13">
      <c r="A63" s="14"/>
      <c r="B63" s="14"/>
      <c r="C63" s="10"/>
      <c r="D63" s="21" t="s">
        <v>91</v>
      </c>
      <c r="E63" s="12">
        <v>64</v>
      </c>
      <c r="F63" s="13">
        <v>633.73</v>
      </c>
      <c r="H63" s="14"/>
      <c r="I63" s="14"/>
      <c r="J63" s="10"/>
      <c r="K63" s="11"/>
      <c r="L63" s="12"/>
      <c r="M63" s="13"/>
    </row>
    <row r="64" spans="1:13">
      <c r="A64" s="14"/>
      <c r="B64" s="14"/>
      <c r="C64" s="10"/>
      <c r="D64" s="21" t="s">
        <v>91</v>
      </c>
      <c r="E64" s="12">
        <v>65</v>
      </c>
      <c r="F64" s="13">
        <v>1829.91</v>
      </c>
      <c r="H64" s="14"/>
      <c r="I64" s="14"/>
      <c r="J64" s="10"/>
      <c r="K64" s="11"/>
      <c r="L64" s="12"/>
      <c r="M64" s="13"/>
    </row>
    <row r="65" spans="1:13">
      <c r="A65" s="14"/>
      <c r="B65" s="14"/>
      <c r="C65" s="10"/>
      <c r="D65" s="21" t="s">
        <v>91</v>
      </c>
      <c r="E65" s="14">
        <v>66</v>
      </c>
      <c r="F65" s="13">
        <v>42500</v>
      </c>
      <c r="H65" s="14"/>
      <c r="I65" s="14"/>
      <c r="J65" s="10"/>
      <c r="K65" s="11"/>
      <c r="L65" s="12"/>
      <c r="M65" s="13"/>
    </row>
    <row r="66" spans="1:13">
      <c r="A66" s="14"/>
      <c r="B66" s="14"/>
      <c r="C66" s="10"/>
      <c r="D66" s="21">
        <v>42608</v>
      </c>
      <c r="E66" s="14">
        <v>67</v>
      </c>
      <c r="F66" s="13">
        <v>17000</v>
      </c>
      <c r="H66" s="14"/>
      <c r="I66" s="14"/>
      <c r="J66" s="10"/>
      <c r="K66" s="11"/>
      <c r="L66" s="12"/>
      <c r="M66" s="13"/>
    </row>
    <row r="67" spans="1:13">
      <c r="A67" s="14"/>
      <c r="B67" s="14"/>
      <c r="C67" s="10"/>
      <c r="D67" s="21" t="s">
        <v>91</v>
      </c>
      <c r="E67" s="14">
        <v>68</v>
      </c>
      <c r="F67" s="13">
        <v>45610</v>
      </c>
      <c r="H67" s="14"/>
      <c r="I67" s="14"/>
      <c r="J67" s="10"/>
      <c r="K67" s="11"/>
      <c r="L67" s="12"/>
      <c r="M67" s="13"/>
    </row>
    <row r="68" spans="1:13">
      <c r="A68" s="14"/>
      <c r="B68" s="14"/>
      <c r="C68" s="10"/>
      <c r="D68" s="21" t="s">
        <v>91</v>
      </c>
      <c r="E68" s="14">
        <v>69</v>
      </c>
      <c r="F68" s="13">
        <v>5072.76</v>
      </c>
      <c r="H68" s="14"/>
      <c r="I68" s="14"/>
      <c r="J68" s="10"/>
      <c r="K68" s="11"/>
      <c r="L68" s="12"/>
      <c r="M68" s="13"/>
    </row>
    <row r="69" spans="1:13">
      <c r="A69" s="14"/>
      <c r="B69" s="14"/>
      <c r="C69" s="10"/>
      <c r="D69" s="21" t="s">
        <v>91</v>
      </c>
      <c r="E69" s="14">
        <v>70</v>
      </c>
      <c r="F69" s="13">
        <v>5752.7</v>
      </c>
      <c r="H69" s="14"/>
      <c r="I69" s="14"/>
      <c r="J69" s="10"/>
      <c r="K69" s="11"/>
      <c r="L69" s="12"/>
      <c r="M69" s="13"/>
    </row>
    <row r="70" spans="1:13">
      <c r="A70" s="14"/>
      <c r="B70" s="14"/>
      <c r="C70" s="10"/>
      <c r="D70" s="21" t="s">
        <v>91</v>
      </c>
      <c r="E70" s="14">
        <v>71</v>
      </c>
      <c r="F70" s="13">
        <v>1306.8</v>
      </c>
      <c r="H70" s="14"/>
      <c r="I70" s="14"/>
      <c r="J70" s="10"/>
      <c r="K70" s="11"/>
      <c r="L70" s="12"/>
      <c r="M70" s="13"/>
    </row>
    <row r="71" spans="1:13">
      <c r="A71" s="14"/>
      <c r="B71" s="14"/>
      <c r="C71" s="10"/>
      <c r="D71" s="21">
        <v>42613</v>
      </c>
      <c r="E71" s="33">
        <v>72</v>
      </c>
      <c r="F71" s="13">
        <v>4123</v>
      </c>
      <c r="H71" s="14"/>
      <c r="I71" s="14"/>
      <c r="J71" s="10"/>
      <c r="K71" s="11"/>
      <c r="L71" s="12"/>
      <c r="M71" s="13"/>
    </row>
    <row r="72" spans="1:13">
      <c r="A72" s="14"/>
      <c r="B72" s="14"/>
      <c r="C72" s="10"/>
      <c r="D72" s="21">
        <v>42646</v>
      </c>
      <c r="E72" s="14">
        <v>73</v>
      </c>
      <c r="F72" s="13">
        <v>300</v>
      </c>
      <c r="H72" s="14"/>
      <c r="I72" s="14"/>
      <c r="J72" s="10"/>
      <c r="K72" s="11"/>
      <c r="L72" s="12"/>
      <c r="M72" s="13"/>
    </row>
    <row r="73" spans="1:13">
      <c r="A73" s="14"/>
      <c r="B73" s="14"/>
      <c r="C73" s="10"/>
      <c r="D73" s="21" t="s">
        <v>91</v>
      </c>
      <c r="E73" s="14">
        <v>74</v>
      </c>
      <c r="F73" s="13">
        <v>300</v>
      </c>
      <c r="H73" s="14"/>
      <c r="I73" s="14"/>
      <c r="J73" s="10"/>
      <c r="K73" s="11"/>
      <c r="L73" s="12"/>
      <c r="M73" s="13"/>
    </row>
    <row r="74" spans="1:13">
      <c r="A74" s="14"/>
      <c r="B74" s="14"/>
      <c r="C74" s="10"/>
      <c r="D74" s="21" t="s">
        <v>91</v>
      </c>
      <c r="E74" s="12">
        <v>75</v>
      </c>
      <c r="F74" s="13">
        <v>1353.84</v>
      </c>
      <c r="H74" s="14"/>
      <c r="I74" s="14"/>
      <c r="J74" s="10"/>
      <c r="K74" s="11"/>
      <c r="L74" s="12"/>
      <c r="M74" s="13"/>
    </row>
    <row r="75" spans="1:13">
      <c r="A75" s="14"/>
      <c r="B75" s="14"/>
      <c r="C75" s="10"/>
      <c r="D75" s="21" t="s">
        <v>91</v>
      </c>
      <c r="E75" s="12">
        <v>76</v>
      </c>
      <c r="F75" s="13">
        <v>60450</v>
      </c>
      <c r="H75" s="14"/>
      <c r="I75" s="14"/>
      <c r="J75" s="10"/>
      <c r="K75" s="11"/>
      <c r="L75" s="12"/>
      <c r="M75" s="13"/>
    </row>
    <row r="76" spans="1:13">
      <c r="A76" s="14"/>
      <c r="B76" s="14"/>
      <c r="C76" s="10"/>
      <c r="D76" s="21" t="s">
        <v>91</v>
      </c>
      <c r="E76" s="12">
        <v>77</v>
      </c>
      <c r="F76" s="13">
        <v>110550</v>
      </c>
      <c r="H76" s="14"/>
      <c r="I76" s="14"/>
      <c r="J76" s="10"/>
      <c r="K76" s="11"/>
      <c r="L76" s="12"/>
      <c r="M76" s="13"/>
    </row>
    <row r="77" spans="1:13">
      <c r="A77" s="14"/>
      <c r="B77" s="14"/>
      <c r="C77" s="10"/>
      <c r="D77" s="21" t="s">
        <v>91</v>
      </c>
      <c r="E77" s="12">
        <v>78</v>
      </c>
      <c r="F77" s="13">
        <v>43008</v>
      </c>
      <c r="H77" s="14"/>
      <c r="I77" s="14"/>
      <c r="J77" s="10"/>
      <c r="K77" s="11"/>
      <c r="L77" s="12"/>
      <c r="M77" s="13"/>
    </row>
    <row r="78" spans="1:13">
      <c r="A78" s="14"/>
      <c r="B78" s="14"/>
      <c r="C78" s="10"/>
      <c r="D78" s="21" t="s">
        <v>91</v>
      </c>
      <c r="E78" s="12">
        <v>79</v>
      </c>
      <c r="F78" s="13">
        <v>5864.7</v>
      </c>
      <c r="H78" s="14"/>
      <c r="I78" s="14"/>
      <c r="J78" s="10"/>
      <c r="K78" s="11"/>
      <c r="L78" s="12"/>
      <c r="M78" s="13"/>
    </row>
    <row r="79" spans="1:13">
      <c r="A79" s="14"/>
      <c r="B79" s="14"/>
      <c r="C79" s="10"/>
      <c r="D79" s="21" t="s">
        <v>91</v>
      </c>
      <c r="E79" s="12">
        <v>80</v>
      </c>
      <c r="F79" s="13">
        <v>601.35</v>
      </c>
      <c r="H79" s="14"/>
      <c r="I79" s="14"/>
      <c r="J79" s="10"/>
      <c r="K79" s="11"/>
      <c r="L79" s="12"/>
      <c r="M79" s="13"/>
    </row>
    <row r="80" spans="1:13">
      <c r="A80" s="14"/>
      <c r="B80" s="14"/>
      <c r="C80" s="10"/>
      <c r="D80" s="21" t="s">
        <v>91</v>
      </c>
      <c r="E80" s="12">
        <v>81</v>
      </c>
      <c r="F80" s="13">
        <v>4216</v>
      </c>
      <c r="H80" s="14"/>
      <c r="I80" s="14"/>
      <c r="J80" s="10"/>
      <c r="K80" s="11"/>
      <c r="L80" s="12"/>
      <c r="M80" s="13"/>
    </row>
    <row r="81" spans="1:13">
      <c r="A81" s="14"/>
      <c r="B81" s="14"/>
      <c r="C81" s="10"/>
      <c r="D81" s="21">
        <v>42648</v>
      </c>
      <c r="E81" s="12">
        <v>82</v>
      </c>
      <c r="F81" s="13">
        <v>5666.6</v>
      </c>
      <c r="H81" s="14"/>
      <c r="I81" s="14"/>
      <c r="J81" s="10"/>
      <c r="K81" s="11"/>
      <c r="L81" s="12"/>
      <c r="M81" s="13"/>
    </row>
    <row r="82" spans="1:13">
      <c r="A82" s="14"/>
      <c r="B82" s="14"/>
      <c r="C82" s="10"/>
      <c r="D82" s="21">
        <v>42692</v>
      </c>
      <c r="E82" s="12">
        <v>83</v>
      </c>
      <c r="F82" s="13">
        <v>300</v>
      </c>
      <c r="H82" s="14"/>
      <c r="I82" s="14"/>
      <c r="J82" s="10"/>
      <c r="K82" s="11"/>
      <c r="L82" s="12"/>
      <c r="M82" s="13"/>
    </row>
    <row r="83" spans="1:13">
      <c r="A83" s="14"/>
      <c r="B83" s="14"/>
      <c r="C83" s="10"/>
      <c r="D83" s="21" t="s">
        <v>91</v>
      </c>
      <c r="E83" s="12">
        <v>84</v>
      </c>
      <c r="F83" s="13">
        <v>300</v>
      </c>
      <c r="H83" s="14"/>
      <c r="I83" s="14"/>
      <c r="J83" s="10"/>
      <c r="K83" s="11"/>
      <c r="L83" s="12"/>
      <c r="M83" s="13"/>
    </row>
    <row r="84" spans="1:13">
      <c r="A84" s="14"/>
      <c r="B84" s="14"/>
      <c r="C84" s="10"/>
      <c r="D84" s="21" t="s">
        <v>91</v>
      </c>
      <c r="E84" s="12">
        <v>85</v>
      </c>
      <c r="F84" s="13">
        <v>1290</v>
      </c>
      <c r="H84" s="14"/>
      <c r="I84" s="14"/>
      <c r="J84" s="10"/>
      <c r="K84" s="11"/>
      <c r="L84" s="12"/>
      <c r="M84" s="13"/>
    </row>
    <row r="85" spans="1:13">
      <c r="A85" s="14"/>
      <c r="B85" s="14"/>
      <c r="C85" s="10"/>
      <c r="D85" s="21" t="s">
        <v>91</v>
      </c>
      <c r="E85" s="12">
        <v>86</v>
      </c>
      <c r="F85" s="13">
        <v>36360</v>
      </c>
      <c r="H85" s="14"/>
      <c r="I85" s="14"/>
      <c r="J85" s="10"/>
      <c r="K85" s="11"/>
      <c r="L85" s="12"/>
      <c r="M85" s="13"/>
    </row>
    <row r="86" spans="1:13">
      <c r="A86" s="14"/>
      <c r="B86" s="14"/>
      <c r="C86" s="10"/>
      <c r="D86" s="21" t="s">
        <v>91</v>
      </c>
      <c r="E86" s="12">
        <v>87</v>
      </c>
      <c r="F86" s="13">
        <v>29928</v>
      </c>
      <c r="H86" s="14"/>
      <c r="I86" s="14"/>
      <c r="J86" s="10"/>
      <c r="K86" s="11"/>
      <c r="L86" s="12"/>
      <c r="M86" s="13"/>
    </row>
    <row r="87" spans="1:13">
      <c r="A87" s="14"/>
      <c r="B87" s="14"/>
      <c r="C87" s="10"/>
      <c r="D87" s="21">
        <v>42713</v>
      </c>
      <c r="E87" s="12">
        <v>88</v>
      </c>
      <c r="F87" s="13">
        <v>5435.22</v>
      </c>
      <c r="H87" s="14"/>
      <c r="I87" s="14"/>
      <c r="J87" s="10"/>
      <c r="K87" s="11"/>
      <c r="L87" s="12"/>
      <c r="M87" s="13"/>
    </row>
    <row r="88" spans="1:13">
      <c r="A88" s="14"/>
      <c r="B88" s="14"/>
      <c r="C88" s="10"/>
      <c r="D88" s="21" t="s">
        <v>91</v>
      </c>
      <c r="E88" s="12">
        <v>89</v>
      </c>
      <c r="F88" s="13">
        <v>1290</v>
      </c>
      <c r="H88" s="14"/>
      <c r="I88" s="14"/>
      <c r="J88" s="10"/>
      <c r="K88" s="11"/>
      <c r="L88" s="12"/>
      <c r="M88" s="13"/>
    </row>
    <row r="89" spans="1:13">
      <c r="A89" s="14"/>
      <c r="B89" s="14"/>
      <c r="C89" s="10"/>
      <c r="D89" s="21" t="s">
        <v>91</v>
      </c>
      <c r="E89" s="12">
        <v>90</v>
      </c>
      <c r="F89" s="13">
        <v>36360</v>
      </c>
      <c r="H89" s="14"/>
      <c r="I89" s="14"/>
      <c r="J89" s="10"/>
      <c r="K89" s="11"/>
      <c r="L89" s="12"/>
      <c r="M89" s="13"/>
    </row>
    <row r="90" spans="1:13">
      <c r="A90" s="14"/>
      <c r="B90" s="14"/>
      <c r="C90" s="10"/>
      <c r="D90" s="21" t="s">
        <v>91</v>
      </c>
      <c r="E90" s="12">
        <v>91</v>
      </c>
      <c r="F90" s="13">
        <v>29928</v>
      </c>
      <c r="H90" s="14"/>
      <c r="I90" s="14"/>
      <c r="J90" s="10"/>
      <c r="K90" s="11"/>
      <c r="L90" s="12"/>
      <c r="M90" s="13"/>
    </row>
    <row r="91" spans="1:13">
      <c r="A91" s="14"/>
      <c r="B91" s="14"/>
      <c r="C91" s="10"/>
      <c r="D91" s="21" t="s">
        <v>91</v>
      </c>
      <c r="E91" s="12">
        <v>92</v>
      </c>
      <c r="F91" s="13">
        <v>487.37</v>
      </c>
      <c r="H91" s="14"/>
      <c r="I91" s="14"/>
      <c r="J91" s="10"/>
      <c r="K91" s="11"/>
      <c r="L91" s="12"/>
      <c r="M91" s="13"/>
    </row>
    <row r="92" spans="1:13">
      <c r="A92" s="14"/>
      <c r="B92" s="14"/>
      <c r="C92" s="10"/>
      <c r="D92" s="21" t="s">
        <v>91</v>
      </c>
      <c r="E92" s="12">
        <v>93</v>
      </c>
      <c r="F92" s="10">
        <v>553.34</v>
      </c>
      <c r="H92" s="14"/>
      <c r="I92" s="14"/>
      <c r="J92" s="10"/>
      <c r="K92" s="11"/>
      <c r="L92" s="12"/>
      <c r="M92" s="13"/>
    </row>
    <row r="93" spans="1:13">
      <c r="A93" s="14"/>
      <c r="B93" s="14"/>
      <c r="C93" s="10"/>
      <c r="D93" s="21" t="s">
        <v>91</v>
      </c>
      <c r="E93" s="12">
        <v>94</v>
      </c>
      <c r="F93" s="10">
        <v>525.71</v>
      </c>
      <c r="H93" s="14"/>
      <c r="I93" s="14"/>
      <c r="J93" s="10"/>
      <c r="K93" s="11"/>
      <c r="L93" s="12"/>
      <c r="M93" s="13"/>
    </row>
    <row r="94" spans="1:13">
      <c r="A94" s="14"/>
      <c r="B94" s="14"/>
      <c r="C94" s="10"/>
      <c r="D94" s="21" t="s">
        <v>91</v>
      </c>
      <c r="E94" s="12">
        <v>95</v>
      </c>
      <c r="F94" s="10">
        <v>60200</v>
      </c>
      <c r="H94" s="14"/>
      <c r="I94" s="14"/>
      <c r="J94" s="10"/>
      <c r="K94" s="11"/>
      <c r="L94" s="12"/>
      <c r="M94" s="13"/>
    </row>
    <row r="95" spans="1:13">
      <c r="A95" s="14"/>
      <c r="B95" s="14"/>
      <c r="C95" s="10"/>
      <c r="D95" s="21" t="s">
        <v>91</v>
      </c>
      <c r="E95" s="12">
        <v>96</v>
      </c>
      <c r="F95" s="10">
        <v>61425</v>
      </c>
      <c r="H95" s="14"/>
      <c r="I95" s="14"/>
      <c r="J95" s="10"/>
      <c r="K95" s="11"/>
      <c r="L95" s="12"/>
      <c r="M95" s="13"/>
    </row>
    <row r="96" spans="1:13">
      <c r="A96" s="14"/>
      <c r="B96" s="14"/>
      <c r="C96" s="10"/>
      <c r="D96" s="21" t="s">
        <v>91</v>
      </c>
      <c r="E96" s="12">
        <v>97</v>
      </c>
      <c r="F96" s="13">
        <v>1067.67</v>
      </c>
      <c r="H96" s="14"/>
      <c r="I96" s="14"/>
      <c r="J96" s="10"/>
      <c r="K96" s="11"/>
      <c r="L96" s="12"/>
      <c r="M96" s="13"/>
    </row>
    <row r="97" spans="1:13">
      <c r="A97" s="14"/>
      <c r="B97" s="14"/>
      <c r="C97" s="10"/>
      <c r="D97" s="21" t="s">
        <v>91</v>
      </c>
      <c r="E97" s="12">
        <v>98</v>
      </c>
      <c r="F97" s="13">
        <v>1313.26</v>
      </c>
      <c r="H97" s="14"/>
      <c r="I97" s="14"/>
      <c r="J97" s="10"/>
      <c r="K97" s="11"/>
      <c r="L97" s="12"/>
      <c r="M97" s="13"/>
    </row>
    <row r="98" spans="1:13">
      <c r="A98" s="14"/>
      <c r="B98" s="14"/>
      <c r="C98" s="10"/>
      <c r="D98" s="21" t="s">
        <v>91</v>
      </c>
      <c r="E98" s="12">
        <v>99</v>
      </c>
      <c r="F98" s="10">
        <v>1352.02</v>
      </c>
      <c r="H98" s="14"/>
      <c r="I98" s="14"/>
      <c r="J98" s="10"/>
      <c r="K98" s="11"/>
      <c r="L98" s="12"/>
      <c r="M98" s="13"/>
    </row>
    <row r="99" spans="1:13">
      <c r="A99" s="14"/>
      <c r="B99" s="14"/>
      <c r="C99" s="10"/>
      <c r="D99" s="21">
        <v>42735</v>
      </c>
      <c r="E99" s="12">
        <v>103</v>
      </c>
      <c r="F99" s="10">
        <v>88977.8</v>
      </c>
      <c r="H99" s="14"/>
      <c r="I99" s="14"/>
      <c r="J99" s="10"/>
      <c r="K99" s="11"/>
      <c r="L99" s="12"/>
      <c r="M99" s="13"/>
    </row>
    <row r="100" spans="1:13">
      <c r="A100" s="14"/>
      <c r="B100" s="14"/>
      <c r="C100" s="10"/>
      <c r="D100" s="21" t="s">
        <v>91</v>
      </c>
      <c r="E100" s="12">
        <v>106</v>
      </c>
      <c r="F100" s="10">
        <v>397800.39</v>
      </c>
      <c r="H100" s="14"/>
      <c r="I100" s="14"/>
      <c r="J100" s="10"/>
      <c r="K100" s="11"/>
      <c r="L100" s="12"/>
      <c r="M100" s="13"/>
    </row>
    <row r="101" spans="1:13">
      <c r="A101" s="14"/>
      <c r="B101" s="14"/>
      <c r="C101" s="10"/>
      <c r="D101" s="21" t="s">
        <v>91</v>
      </c>
      <c r="E101" s="12">
        <v>107</v>
      </c>
      <c r="F101" s="10">
        <v>388877.77</v>
      </c>
      <c r="H101" s="14"/>
      <c r="I101" s="14"/>
      <c r="J101" s="10"/>
      <c r="K101" s="11"/>
      <c r="L101" s="12"/>
      <c r="M101" s="13"/>
    </row>
    <row r="102" spans="1:13">
      <c r="A102" s="14"/>
      <c r="B102" s="14"/>
      <c r="C102" s="10"/>
      <c r="D102" s="21" t="s">
        <v>91</v>
      </c>
      <c r="E102" s="12">
        <v>109</v>
      </c>
      <c r="F102" s="10">
        <v>459160</v>
      </c>
      <c r="H102" s="14"/>
      <c r="I102" s="14"/>
      <c r="J102" s="10"/>
      <c r="K102" s="11"/>
      <c r="L102" s="12"/>
      <c r="M102" s="13"/>
    </row>
    <row r="103" spans="1:13">
      <c r="A103" s="14"/>
      <c r="B103" s="14"/>
      <c r="C103" s="10"/>
      <c r="D103" s="21" t="s">
        <v>91</v>
      </c>
      <c r="E103" s="12">
        <v>110</v>
      </c>
      <c r="F103" s="10">
        <v>53928</v>
      </c>
      <c r="H103" s="14"/>
      <c r="I103" s="14"/>
      <c r="J103" s="10"/>
      <c r="K103" s="11"/>
      <c r="L103" s="12"/>
      <c r="M103" s="13"/>
    </row>
    <row r="104" spans="1:13">
      <c r="A104" s="14"/>
      <c r="B104" s="14"/>
      <c r="C104" s="10"/>
      <c r="D104" s="21" t="s">
        <v>91</v>
      </c>
      <c r="E104" s="12">
        <v>111</v>
      </c>
      <c r="F104" s="10">
        <v>1290</v>
      </c>
      <c r="H104" s="14"/>
      <c r="I104" s="14"/>
      <c r="J104" s="10"/>
      <c r="K104" s="11"/>
      <c r="L104" s="12"/>
      <c r="M104" s="13"/>
    </row>
    <row r="105" spans="1:13">
      <c r="A105" s="14"/>
      <c r="B105" s="14"/>
      <c r="C105" s="10"/>
      <c r="D105" s="21" t="s">
        <v>91</v>
      </c>
      <c r="E105" s="12">
        <v>112</v>
      </c>
      <c r="F105" s="10">
        <v>600</v>
      </c>
      <c r="H105" s="14"/>
      <c r="I105" s="14"/>
      <c r="J105" s="10"/>
      <c r="K105" s="11"/>
      <c r="L105" s="12"/>
      <c r="M105" s="13"/>
    </row>
    <row r="106" spans="1:13">
      <c r="A106" s="14"/>
      <c r="B106" s="14"/>
      <c r="C106" s="10"/>
      <c r="D106" s="21" t="s">
        <v>91</v>
      </c>
      <c r="E106" s="12">
        <v>113</v>
      </c>
      <c r="F106" s="10">
        <v>1085</v>
      </c>
      <c r="H106" s="14"/>
      <c r="I106" s="14"/>
      <c r="J106" s="10"/>
      <c r="K106" s="11"/>
      <c r="L106" s="12"/>
      <c r="M106" s="13"/>
    </row>
    <row r="107" spans="1:13">
      <c r="A107" s="14"/>
      <c r="B107" s="14"/>
      <c r="C107" s="10"/>
      <c r="D107" s="21" t="s">
        <v>91</v>
      </c>
      <c r="E107" s="12">
        <v>114</v>
      </c>
      <c r="F107" s="10">
        <v>167520</v>
      </c>
      <c r="H107" s="14"/>
      <c r="I107" s="14"/>
      <c r="J107" s="10"/>
      <c r="K107" s="11"/>
      <c r="L107" s="12"/>
      <c r="M107" s="13"/>
    </row>
    <row r="108" spans="1:13">
      <c r="A108" s="14"/>
      <c r="B108" s="14"/>
      <c r="C108" s="10"/>
      <c r="D108" s="21" t="s">
        <v>91</v>
      </c>
      <c r="E108" s="12">
        <v>115</v>
      </c>
      <c r="F108" s="10">
        <v>48309.8</v>
      </c>
      <c r="H108" s="14"/>
      <c r="I108" s="14"/>
      <c r="J108" s="10"/>
      <c r="K108" s="11"/>
      <c r="L108" s="12"/>
      <c r="M108" s="13"/>
    </row>
    <row r="109" spans="1:13">
      <c r="A109" s="14"/>
      <c r="B109" s="14"/>
      <c r="C109" s="10"/>
      <c r="D109" s="21" t="s">
        <v>91</v>
      </c>
      <c r="E109" s="12">
        <v>116</v>
      </c>
      <c r="F109" s="10">
        <v>167698</v>
      </c>
      <c r="H109" s="14"/>
      <c r="I109" s="14"/>
      <c r="J109" s="10"/>
      <c r="K109" s="11"/>
      <c r="L109" s="12"/>
      <c r="M109" s="13"/>
    </row>
    <row r="110" spans="1:13">
      <c r="A110" s="14"/>
      <c r="B110" s="14"/>
      <c r="C110" s="10"/>
      <c r="D110" s="21" t="s">
        <v>91</v>
      </c>
      <c r="E110" s="12">
        <v>117</v>
      </c>
      <c r="F110" s="10">
        <v>103841.5</v>
      </c>
      <c r="H110" s="14"/>
      <c r="I110" s="14"/>
      <c r="J110" s="10"/>
      <c r="K110" s="11"/>
      <c r="L110" s="12"/>
      <c r="M110" s="13"/>
    </row>
    <row r="111" spans="1:13">
      <c r="A111" s="14"/>
      <c r="B111" s="14"/>
      <c r="C111" s="10"/>
      <c r="D111" s="21" t="s">
        <v>91</v>
      </c>
      <c r="E111" s="12">
        <v>118</v>
      </c>
      <c r="F111" s="10">
        <v>16464.7</v>
      </c>
      <c r="H111" s="14"/>
      <c r="I111" s="14"/>
      <c r="J111" s="10"/>
      <c r="K111" s="11"/>
      <c r="L111" s="12"/>
      <c r="M111" s="13"/>
    </row>
    <row r="112" spans="1:13">
      <c r="A112" s="14"/>
      <c r="B112" s="14"/>
      <c r="C112" s="10"/>
      <c r="D112" s="21" t="s">
        <v>91</v>
      </c>
      <c r="E112" s="12">
        <v>119</v>
      </c>
      <c r="F112" s="10">
        <v>16464.7</v>
      </c>
      <c r="H112" s="14"/>
      <c r="I112" s="14"/>
      <c r="J112" s="10"/>
      <c r="K112" s="11"/>
      <c r="L112" s="12"/>
      <c r="M112" s="13"/>
    </row>
    <row r="113" spans="1:13">
      <c r="A113" s="14"/>
      <c r="B113" s="14"/>
      <c r="C113" s="10"/>
      <c r="D113" s="21"/>
      <c r="E113" s="12"/>
      <c r="F113" s="10"/>
      <c r="H113" s="14"/>
      <c r="I113" s="14"/>
      <c r="J113" s="10"/>
      <c r="K113" s="11"/>
      <c r="L113" s="12"/>
      <c r="M113" s="13"/>
    </row>
    <row r="114" spans="1:13">
      <c r="A114" s="14"/>
      <c r="B114" s="14"/>
      <c r="C114" s="10"/>
      <c r="D114" s="21"/>
      <c r="E114" s="12"/>
      <c r="F114" s="10"/>
      <c r="H114" s="14"/>
      <c r="I114" s="14"/>
      <c r="J114" s="10"/>
      <c r="K114" s="11"/>
      <c r="L114" s="12"/>
      <c r="M114" s="13"/>
    </row>
    <row r="115" spans="1:13">
      <c r="A115" s="14"/>
      <c r="B115" s="14"/>
      <c r="C115" s="10"/>
      <c r="D115" s="21"/>
      <c r="E115" s="31"/>
      <c r="F115" s="10"/>
      <c r="H115" s="14"/>
      <c r="I115" s="14"/>
      <c r="J115" s="10"/>
      <c r="K115" s="11"/>
      <c r="L115" s="12"/>
      <c r="M115" s="13"/>
    </row>
    <row r="116" spans="1:13">
      <c r="A116" s="14"/>
      <c r="B116" s="14"/>
      <c r="C116" s="10"/>
      <c r="D116" s="21"/>
      <c r="E116" s="12"/>
      <c r="F116" s="10"/>
      <c r="H116" s="14"/>
      <c r="I116" s="14"/>
      <c r="J116" s="10"/>
      <c r="K116" s="11"/>
      <c r="L116" s="12"/>
      <c r="M116" s="13"/>
    </row>
    <row r="117" spans="1:13">
      <c r="A117" s="14"/>
      <c r="B117" s="14"/>
      <c r="C117" s="10"/>
      <c r="D117" s="21"/>
      <c r="E117" s="12"/>
      <c r="F117" s="10"/>
      <c r="H117" s="14"/>
      <c r="I117" s="14"/>
      <c r="J117" s="10"/>
      <c r="K117" s="11"/>
      <c r="L117" s="12"/>
      <c r="M117" s="13"/>
    </row>
    <row r="118" spans="1:13">
      <c r="A118" s="14"/>
      <c r="B118" s="14"/>
      <c r="C118" s="10"/>
      <c r="D118" s="21"/>
      <c r="E118" s="12"/>
      <c r="F118" s="10"/>
      <c r="H118" s="14"/>
      <c r="I118" s="14"/>
      <c r="J118" s="10"/>
      <c r="K118" s="11"/>
      <c r="L118" s="12"/>
      <c r="M118" s="13"/>
    </row>
    <row r="119" spans="1:13">
      <c r="A119" s="14"/>
      <c r="B119" s="14"/>
      <c r="C119" s="10"/>
      <c r="D119" s="21"/>
      <c r="E119" s="12"/>
      <c r="F119" s="10"/>
      <c r="H119" s="14"/>
      <c r="I119" s="14"/>
      <c r="J119" s="10"/>
      <c r="K119" s="11"/>
      <c r="L119" s="12"/>
      <c r="M119" s="13"/>
    </row>
    <row r="120" spans="1:13">
      <c r="A120" s="14"/>
      <c r="B120" s="14"/>
      <c r="C120" s="10"/>
      <c r="D120" s="21"/>
      <c r="E120" s="12"/>
      <c r="F120" s="10"/>
      <c r="H120" s="14"/>
      <c r="I120" s="14"/>
      <c r="J120" s="10"/>
      <c r="K120" s="11"/>
      <c r="L120" s="12"/>
      <c r="M120" s="13"/>
    </row>
    <row r="121" spans="1:13">
      <c r="A121" s="14"/>
      <c r="B121" s="14"/>
      <c r="C121" s="10"/>
      <c r="D121" s="21"/>
      <c r="E121" s="12"/>
      <c r="F121" s="10"/>
      <c r="H121" s="14"/>
      <c r="I121" s="14"/>
      <c r="J121" s="10"/>
      <c r="K121" s="11"/>
      <c r="L121" s="12"/>
      <c r="M121" s="13"/>
    </row>
    <row r="122" spans="1:13">
      <c r="A122" s="14"/>
      <c r="B122" s="14"/>
      <c r="C122" s="10"/>
      <c r="D122" s="21"/>
      <c r="E122" s="12"/>
      <c r="F122" s="10"/>
      <c r="H122" s="14"/>
      <c r="I122" s="14"/>
      <c r="J122" s="10"/>
      <c r="K122" s="11"/>
      <c r="L122" s="12"/>
      <c r="M122" s="13"/>
    </row>
    <row r="123" spans="1:13">
      <c r="A123" s="14"/>
      <c r="B123" s="14"/>
      <c r="C123" s="10"/>
      <c r="D123" s="21"/>
      <c r="E123" s="12"/>
      <c r="F123" s="10"/>
      <c r="H123" s="14"/>
      <c r="I123" s="14"/>
      <c r="J123" s="10"/>
      <c r="K123" s="11"/>
      <c r="L123" s="12"/>
      <c r="M123" s="13"/>
    </row>
    <row r="124" spans="1:13">
      <c r="A124" s="14"/>
      <c r="B124" s="14"/>
      <c r="C124" s="10"/>
      <c r="D124" s="21"/>
      <c r="E124" s="12"/>
      <c r="F124" s="10"/>
      <c r="H124" s="14"/>
      <c r="I124" s="14"/>
      <c r="J124" s="10"/>
      <c r="K124" s="11"/>
      <c r="L124" s="12"/>
      <c r="M124" s="13"/>
    </row>
    <row r="125" spans="1:13">
      <c r="A125" s="14"/>
      <c r="B125" s="14"/>
      <c r="C125" s="10"/>
      <c r="D125" s="21"/>
      <c r="E125" s="12"/>
      <c r="F125" s="10"/>
      <c r="H125" s="14"/>
      <c r="I125" s="14"/>
      <c r="J125" s="10"/>
      <c r="K125" s="11"/>
      <c r="L125" s="12"/>
      <c r="M125" s="13"/>
    </row>
    <row r="126" spans="1:13">
      <c r="A126" s="14"/>
      <c r="B126" s="14"/>
      <c r="C126" s="10"/>
      <c r="D126" s="21"/>
      <c r="E126" s="12"/>
      <c r="F126" s="10"/>
      <c r="H126" s="14"/>
      <c r="I126" s="14"/>
      <c r="J126" s="10"/>
      <c r="K126" s="11"/>
      <c r="L126" s="12"/>
      <c r="M126" s="13"/>
    </row>
    <row r="127" spans="1:13">
      <c r="A127" s="14"/>
      <c r="B127" s="14"/>
      <c r="C127" s="10"/>
      <c r="D127" s="21"/>
      <c r="E127" s="12"/>
      <c r="F127" s="10"/>
      <c r="H127" s="14"/>
      <c r="I127" s="14"/>
      <c r="J127" s="10"/>
      <c r="K127" s="11"/>
      <c r="L127" s="12"/>
      <c r="M127" s="13"/>
    </row>
    <row r="128" spans="1:13">
      <c r="A128" s="14"/>
      <c r="B128" s="14"/>
      <c r="C128" s="10"/>
      <c r="D128" s="21"/>
      <c r="E128" s="12"/>
      <c r="F128" s="10"/>
      <c r="H128" s="14"/>
      <c r="I128" s="14"/>
      <c r="J128" s="10"/>
      <c r="K128" s="11"/>
      <c r="L128" s="12"/>
      <c r="M128" s="13"/>
    </row>
    <row r="129" spans="1:13">
      <c r="A129" s="14"/>
      <c r="B129" s="14"/>
      <c r="C129" s="10"/>
      <c r="D129" s="21"/>
      <c r="E129" s="12"/>
      <c r="F129" s="10"/>
      <c r="H129" s="14"/>
      <c r="I129" s="14"/>
      <c r="J129" s="10"/>
      <c r="K129" s="11"/>
      <c r="L129" s="12"/>
      <c r="M129" s="13"/>
    </row>
    <row r="130" spans="1:13">
      <c r="A130" s="14"/>
      <c r="B130" s="14"/>
      <c r="C130" s="10"/>
      <c r="D130" s="21"/>
      <c r="E130" s="12"/>
      <c r="F130" s="10"/>
      <c r="H130" s="14"/>
      <c r="I130" s="14"/>
      <c r="J130" s="10"/>
      <c r="K130" s="11"/>
      <c r="L130" s="12"/>
      <c r="M130" s="13"/>
    </row>
    <row r="131" spans="1:13">
      <c r="A131" s="14"/>
      <c r="B131" s="14"/>
      <c r="C131" s="10"/>
      <c r="D131" s="21"/>
      <c r="E131" s="12"/>
      <c r="F131" s="10"/>
      <c r="H131" s="14"/>
      <c r="I131" s="14"/>
      <c r="J131" s="10"/>
      <c r="K131" s="11"/>
      <c r="L131" s="12"/>
      <c r="M131" s="13"/>
    </row>
    <row r="132" spans="1:13">
      <c r="A132" s="14"/>
      <c r="B132" s="14"/>
      <c r="C132" s="10"/>
      <c r="D132" s="21"/>
      <c r="E132" s="12"/>
      <c r="F132" s="10"/>
      <c r="H132" s="14"/>
      <c r="I132" s="14"/>
      <c r="J132" s="10"/>
      <c r="K132" s="11"/>
      <c r="L132" s="12"/>
      <c r="M132" s="13"/>
    </row>
    <row r="133" spans="1:13">
      <c r="A133" s="14"/>
      <c r="B133" s="14"/>
      <c r="C133" s="10"/>
      <c r="D133" s="21"/>
      <c r="E133" s="12"/>
      <c r="F133" s="10"/>
      <c r="H133" s="14"/>
      <c r="I133" s="14"/>
      <c r="J133" s="10"/>
      <c r="K133" s="11"/>
      <c r="L133" s="12"/>
      <c r="M133" s="13"/>
    </row>
    <row r="134" spans="1:13">
      <c r="A134" s="14"/>
      <c r="B134" s="14"/>
      <c r="C134" s="10"/>
      <c r="D134" s="21"/>
      <c r="E134" s="12"/>
      <c r="F134" s="10"/>
      <c r="H134" s="14"/>
      <c r="I134" s="14"/>
      <c r="J134" s="10"/>
      <c r="K134" s="11"/>
      <c r="L134" s="12"/>
      <c r="M134" s="13"/>
    </row>
    <row r="135" spans="1:13">
      <c r="A135" s="14"/>
      <c r="B135" s="14"/>
      <c r="C135" s="10"/>
      <c r="D135" s="21"/>
      <c r="E135" s="12"/>
      <c r="F135" s="10"/>
      <c r="H135" s="14"/>
      <c r="I135" s="14"/>
      <c r="J135" s="10"/>
      <c r="K135" s="11"/>
      <c r="L135" s="12"/>
      <c r="M135" s="13"/>
    </row>
    <row r="136" spans="1:13">
      <c r="A136" s="14"/>
      <c r="B136" s="14"/>
      <c r="C136" s="10"/>
      <c r="D136" s="21"/>
      <c r="E136" s="12"/>
      <c r="F136" s="10"/>
      <c r="H136" s="14"/>
      <c r="I136" s="14"/>
      <c r="J136" s="10"/>
      <c r="K136" s="11"/>
      <c r="L136" s="12"/>
      <c r="M136" s="13"/>
    </row>
    <row r="137" spans="1:13">
      <c r="A137" s="14"/>
      <c r="B137" s="14"/>
      <c r="C137" s="10"/>
      <c r="D137" s="21"/>
      <c r="E137" s="12"/>
      <c r="F137" s="10"/>
      <c r="H137" s="14"/>
      <c r="I137" s="14"/>
      <c r="J137" s="10"/>
      <c r="K137" s="11"/>
      <c r="L137" s="12"/>
      <c r="M137" s="13"/>
    </row>
    <row r="138" spans="1:13">
      <c r="A138" s="14"/>
      <c r="B138" s="14"/>
      <c r="C138" s="10"/>
      <c r="D138" s="21"/>
      <c r="E138" s="12"/>
      <c r="F138" s="10"/>
      <c r="H138" s="14"/>
      <c r="I138" s="14"/>
      <c r="J138" s="10"/>
      <c r="K138" s="11"/>
      <c r="L138" s="12"/>
      <c r="M138" s="13"/>
    </row>
    <row r="139" spans="1:13">
      <c r="A139" s="14"/>
      <c r="B139" s="14"/>
      <c r="C139" s="10"/>
      <c r="D139" s="21"/>
      <c r="E139" s="12"/>
      <c r="F139" s="10"/>
      <c r="H139" s="14"/>
      <c r="I139" s="14"/>
      <c r="J139" s="10"/>
      <c r="K139" s="11"/>
      <c r="L139" s="12"/>
      <c r="M139" s="13"/>
    </row>
    <row r="140" spans="1:13">
      <c r="A140" s="14"/>
      <c r="B140" s="14"/>
      <c r="C140" s="10"/>
      <c r="D140" s="21"/>
      <c r="E140" s="12"/>
      <c r="F140" s="10"/>
      <c r="H140" s="14"/>
      <c r="I140" s="14"/>
      <c r="J140" s="10"/>
      <c r="K140" s="11"/>
      <c r="L140" s="12"/>
      <c r="M140" s="13"/>
    </row>
    <row r="141" spans="1:13">
      <c r="A141" s="14"/>
      <c r="B141" s="14"/>
      <c r="C141" s="10"/>
      <c r="D141" s="21"/>
      <c r="E141" s="12"/>
      <c r="F141" s="10"/>
      <c r="H141" s="14"/>
      <c r="I141" s="14"/>
      <c r="J141" s="10"/>
      <c r="K141" s="11"/>
      <c r="L141" s="12"/>
      <c r="M141" s="13"/>
    </row>
    <row r="142" spans="1:13">
      <c r="A142" s="14"/>
      <c r="B142" s="14"/>
      <c r="C142" s="10"/>
      <c r="D142" s="21"/>
      <c r="E142" s="12"/>
      <c r="F142" s="10"/>
      <c r="H142" s="14"/>
      <c r="I142" s="14"/>
      <c r="J142" s="10"/>
      <c r="K142" s="11"/>
      <c r="L142" s="12"/>
      <c r="M142" s="13"/>
    </row>
    <row r="143" spans="1:13">
      <c r="A143" s="14"/>
      <c r="B143" s="14"/>
      <c r="C143" s="10"/>
      <c r="D143" s="21"/>
      <c r="E143" s="12"/>
      <c r="F143" s="10"/>
      <c r="H143" s="14"/>
      <c r="I143" s="14"/>
      <c r="J143" s="10"/>
      <c r="K143" s="11"/>
      <c r="L143" s="12"/>
      <c r="M143" s="13"/>
    </row>
    <row r="144" spans="1:13">
      <c r="A144" s="14"/>
      <c r="B144" s="14"/>
      <c r="C144" s="10"/>
      <c r="D144" s="21"/>
      <c r="E144" s="12"/>
      <c r="F144" s="10"/>
      <c r="H144" s="14"/>
      <c r="I144" s="14"/>
      <c r="J144" s="10"/>
      <c r="K144" s="11"/>
      <c r="L144" s="12"/>
      <c r="M144" s="13"/>
    </row>
    <row r="145" spans="1:13">
      <c r="A145" s="14"/>
      <c r="B145" s="14"/>
      <c r="C145" s="10"/>
      <c r="D145" s="21"/>
      <c r="E145" s="12"/>
      <c r="F145" s="10"/>
      <c r="H145" s="14"/>
      <c r="I145" s="14"/>
      <c r="J145" s="10"/>
      <c r="K145" s="11"/>
      <c r="L145" s="12"/>
      <c r="M145" s="13"/>
    </row>
    <row r="146" spans="1:13">
      <c r="A146" s="14"/>
      <c r="B146" s="14"/>
      <c r="C146" s="10"/>
      <c r="D146" s="21"/>
      <c r="E146" s="12"/>
      <c r="F146" s="10"/>
      <c r="H146" s="14"/>
      <c r="I146" s="14"/>
      <c r="J146" s="10"/>
      <c r="K146" s="11"/>
      <c r="L146" s="12"/>
      <c r="M146" s="13"/>
    </row>
    <row r="147" spans="1:13">
      <c r="A147" s="14"/>
      <c r="B147" s="14"/>
      <c r="C147" s="10"/>
      <c r="D147" s="21"/>
      <c r="E147" s="12"/>
      <c r="F147" s="10"/>
      <c r="H147" s="14"/>
      <c r="I147" s="14"/>
      <c r="J147" s="10"/>
      <c r="K147" s="11"/>
      <c r="L147" s="12"/>
      <c r="M147" s="13"/>
    </row>
    <row r="148" spans="1:13">
      <c r="A148" s="14"/>
      <c r="B148" s="14"/>
      <c r="C148" s="10"/>
      <c r="D148" s="21"/>
      <c r="E148" s="12"/>
      <c r="F148" s="10"/>
      <c r="H148" s="14"/>
      <c r="I148" s="14"/>
      <c r="J148" s="10"/>
      <c r="K148" s="11"/>
      <c r="L148" s="12"/>
      <c r="M148" s="13"/>
    </row>
    <row r="149" spans="1:13">
      <c r="A149" s="14"/>
      <c r="B149" s="14"/>
      <c r="C149" s="10"/>
      <c r="D149" s="21"/>
      <c r="E149" s="12"/>
      <c r="F149" s="10"/>
      <c r="H149" s="14"/>
      <c r="I149" s="14"/>
      <c r="J149" s="10"/>
      <c r="K149" s="11"/>
      <c r="L149" s="12"/>
      <c r="M149" s="13"/>
    </row>
    <row r="150" spans="1:13">
      <c r="A150" s="14"/>
      <c r="B150" s="14"/>
      <c r="C150" s="10"/>
      <c r="D150" s="21"/>
      <c r="E150" s="12"/>
      <c r="F150" s="10"/>
      <c r="H150" s="14"/>
      <c r="I150" s="14"/>
      <c r="J150" s="10"/>
      <c r="K150" s="11"/>
      <c r="L150" s="12"/>
      <c r="M150" s="13"/>
    </row>
    <row r="151" spans="1:13">
      <c r="A151" s="14"/>
      <c r="B151" s="14"/>
      <c r="C151" s="10"/>
      <c r="D151" s="21"/>
      <c r="E151" s="12"/>
      <c r="F151" s="10"/>
      <c r="H151" s="14"/>
      <c r="I151" s="14"/>
      <c r="J151" s="10"/>
      <c r="K151" s="11"/>
      <c r="L151" s="12"/>
      <c r="M151" s="13"/>
    </row>
    <row r="152" spans="1:13">
      <c r="A152" s="14"/>
      <c r="B152" s="14"/>
      <c r="C152" s="10"/>
      <c r="D152" s="21"/>
      <c r="E152" s="12"/>
      <c r="F152" s="10"/>
      <c r="H152" s="14"/>
      <c r="I152" s="14"/>
      <c r="J152" s="10"/>
      <c r="K152" s="11"/>
      <c r="L152" s="12"/>
      <c r="M152" s="13"/>
    </row>
    <row r="153" spans="1:13">
      <c r="A153" s="14"/>
      <c r="B153" s="14"/>
      <c r="C153" s="10"/>
      <c r="D153" s="21"/>
      <c r="E153" s="12"/>
      <c r="F153" s="10"/>
      <c r="H153" s="14"/>
      <c r="I153" s="14"/>
      <c r="J153" s="10"/>
      <c r="K153" s="11"/>
      <c r="L153" s="12"/>
      <c r="M153" s="13"/>
    </row>
    <row r="154" spans="1:13">
      <c r="A154" s="14"/>
      <c r="B154" s="14"/>
      <c r="C154" s="10"/>
      <c r="D154" s="21"/>
      <c r="E154" s="12"/>
      <c r="F154" s="10"/>
      <c r="H154" s="14"/>
      <c r="I154" s="14"/>
      <c r="J154" s="10"/>
      <c r="K154" s="11"/>
      <c r="L154" s="12"/>
      <c r="M154" s="13"/>
    </row>
    <row r="155" spans="1:13">
      <c r="A155" s="14"/>
      <c r="B155" s="14"/>
      <c r="C155" s="10"/>
      <c r="D155" s="21"/>
      <c r="E155" s="12"/>
      <c r="F155" s="10"/>
      <c r="H155" s="14"/>
      <c r="I155" s="14"/>
      <c r="J155" s="10"/>
      <c r="K155" s="11"/>
      <c r="L155" s="12"/>
      <c r="M155" s="13"/>
    </row>
    <row r="156" spans="1:13">
      <c r="A156" s="14"/>
      <c r="B156" s="14"/>
      <c r="C156" s="10"/>
      <c r="D156" s="21"/>
      <c r="E156" s="12"/>
      <c r="F156" s="10"/>
      <c r="H156" s="14"/>
      <c r="I156" s="14"/>
      <c r="J156" s="10"/>
      <c r="K156" s="11"/>
      <c r="L156" s="12"/>
      <c r="M156" s="13"/>
    </row>
    <row r="157" spans="1:13">
      <c r="A157" s="14"/>
      <c r="B157" s="14"/>
      <c r="C157" s="10"/>
      <c r="D157" s="21"/>
      <c r="E157" s="12"/>
      <c r="F157" s="10"/>
      <c r="H157" s="14"/>
      <c r="I157" s="14"/>
      <c r="J157" s="10"/>
      <c r="K157" s="11"/>
      <c r="L157" s="12"/>
      <c r="M157" s="13"/>
    </row>
    <row r="158" spans="1:13">
      <c r="A158" s="14"/>
      <c r="B158" s="14"/>
      <c r="C158" s="10"/>
      <c r="D158" s="21"/>
      <c r="E158" s="12"/>
      <c r="F158" s="10"/>
      <c r="H158" s="14"/>
      <c r="I158" s="14"/>
      <c r="J158" s="10"/>
      <c r="K158" s="11"/>
      <c r="L158" s="12"/>
      <c r="M158" s="13"/>
    </row>
    <row r="159" spans="1:13">
      <c r="A159" s="14"/>
      <c r="B159" s="14"/>
      <c r="C159" s="10"/>
      <c r="D159" s="21"/>
      <c r="E159" s="12"/>
      <c r="F159" s="10"/>
      <c r="H159" s="14"/>
      <c r="I159" s="14"/>
      <c r="J159" s="10"/>
      <c r="K159" s="11"/>
      <c r="L159" s="12"/>
      <c r="M159" s="13"/>
    </row>
    <row r="160" spans="1:13">
      <c r="A160" s="14"/>
      <c r="B160" s="14"/>
      <c r="C160" s="10"/>
      <c r="D160" s="21"/>
      <c r="E160" s="12"/>
      <c r="F160" s="10"/>
      <c r="H160" s="14"/>
      <c r="I160" s="14"/>
      <c r="J160" s="10"/>
      <c r="K160" s="11"/>
      <c r="L160" s="12"/>
      <c r="M160" s="13"/>
    </row>
    <row r="161" spans="1:13">
      <c r="A161" s="14"/>
      <c r="B161" s="14"/>
      <c r="C161" s="10"/>
      <c r="D161" s="21"/>
      <c r="E161" s="12"/>
      <c r="F161" s="10"/>
      <c r="H161" s="14"/>
      <c r="I161" s="14"/>
      <c r="J161" s="10"/>
      <c r="K161" s="11"/>
      <c r="L161" s="12"/>
      <c r="M161" s="13"/>
    </row>
    <row r="162" spans="1:13">
      <c r="A162" s="14"/>
      <c r="B162" s="14"/>
      <c r="C162" s="10"/>
      <c r="D162" s="21"/>
      <c r="E162" s="12"/>
      <c r="F162" s="10"/>
      <c r="H162" s="14"/>
      <c r="I162" s="14"/>
      <c r="J162" s="10"/>
      <c r="K162" s="11"/>
      <c r="L162" s="12"/>
      <c r="M162" s="13"/>
    </row>
    <row r="163" spans="1:13">
      <c r="A163" s="14"/>
      <c r="B163" s="14"/>
      <c r="C163" s="10"/>
      <c r="D163" s="21"/>
      <c r="E163" s="12"/>
      <c r="F163" s="10"/>
      <c r="H163" s="14"/>
      <c r="I163" s="14"/>
      <c r="J163" s="10"/>
      <c r="K163" s="11"/>
      <c r="L163" s="12"/>
      <c r="M163" s="13"/>
    </row>
    <row r="164" spans="1:13">
      <c r="A164" s="14"/>
      <c r="B164" s="14"/>
      <c r="C164" s="10"/>
      <c r="D164" s="21"/>
      <c r="E164" s="12"/>
      <c r="F164" s="10"/>
      <c r="H164" s="14"/>
      <c r="I164" s="14"/>
      <c r="J164" s="10"/>
      <c r="K164" s="11"/>
      <c r="L164" s="12"/>
      <c r="M164" s="13"/>
    </row>
    <row r="165" spans="1:13">
      <c r="A165" s="14"/>
      <c r="B165" s="14"/>
      <c r="C165" s="10"/>
      <c r="D165" s="21"/>
      <c r="E165" s="12"/>
      <c r="F165" s="10"/>
      <c r="H165" s="14"/>
      <c r="I165" s="14"/>
      <c r="J165" s="10"/>
      <c r="K165" s="11"/>
      <c r="L165" s="12"/>
      <c r="M165" s="13"/>
    </row>
    <row r="166" spans="1:13">
      <c r="A166" s="14"/>
      <c r="B166" s="14"/>
      <c r="C166" s="10"/>
      <c r="D166" s="21"/>
      <c r="E166" s="12"/>
      <c r="F166" s="10"/>
      <c r="H166" s="14"/>
      <c r="I166" s="14"/>
      <c r="J166" s="10"/>
      <c r="K166" s="11"/>
      <c r="L166" s="12"/>
      <c r="M166" s="13"/>
    </row>
    <row r="167" spans="1:13">
      <c r="A167" s="14"/>
      <c r="B167" s="14"/>
      <c r="C167" s="10"/>
      <c r="D167" s="21"/>
      <c r="E167" s="12"/>
      <c r="F167" s="10"/>
      <c r="H167" s="14"/>
      <c r="I167" s="14"/>
      <c r="J167" s="10"/>
      <c r="K167" s="11"/>
      <c r="L167" s="12"/>
      <c r="M167" s="13"/>
    </row>
    <row r="168" spans="1:13">
      <c r="A168" s="14"/>
      <c r="B168" s="14"/>
      <c r="C168" s="10"/>
      <c r="D168" s="21"/>
      <c r="E168" s="12"/>
      <c r="F168" s="10"/>
      <c r="H168" s="14"/>
      <c r="I168" s="14"/>
      <c r="J168" s="10"/>
      <c r="K168" s="11"/>
      <c r="L168" s="12"/>
      <c r="M168" s="13"/>
    </row>
    <row r="169" spans="1:13">
      <c r="A169" s="14"/>
      <c r="B169" s="14"/>
      <c r="C169" s="10"/>
      <c r="D169" s="21"/>
      <c r="E169" s="12"/>
      <c r="F169" s="10"/>
      <c r="H169" s="14"/>
      <c r="I169" s="14"/>
      <c r="J169" s="10"/>
      <c r="K169" s="11"/>
      <c r="L169" s="12"/>
      <c r="M169" s="13"/>
    </row>
    <row r="170" spans="1:13">
      <c r="A170" s="14"/>
      <c r="B170" s="14"/>
      <c r="C170" s="10"/>
      <c r="D170" s="21"/>
      <c r="E170" s="12"/>
      <c r="F170" s="10"/>
      <c r="H170" s="14"/>
      <c r="I170" s="14"/>
      <c r="J170" s="10"/>
      <c r="K170" s="11"/>
      <c r="L170" s="12"/>
      <c r="M170" s="13"/>
    </row>
    <row r="171" spans="1:13">
      <c r="A171" s="14"/>
      <c r="B171" s="14"/>
      <c r="C171" s="10"/>
      <c r="D171" s="21"/>
      <c r="E171" s="12"/>
      <c r="F171" s="10"/>
      <c r="H171" s="14"/>
      <c r="I171" s="14"/>
      <c r="J171" s="10"/>
      <c r="K171" s="11"/>
      <c r="L171" s="12"/>
      <c r="M171" s="13"/>
    </row>
    <row r="172" spans="1:13">
      <c r="A172" s="14"/>
      <c r="B172" s="14"/>
      <c r="C172" s="10"/>
      <c r="D172" s="21"/>
      <c r="E172" s="12"/>
      <c r="F172" s="10"/>
      <c r="H172" s="14"/>
      <c r="I172" s="14"/>
      <c r="J172" s="10"/>
      <c r="K172" s="11"/>
      <c r="L172" s="12"/>
      <c r="M172" s="13"/>
    </row>
    <row r="173" spans="1:13">
      <c r="A173" s="14"/>
      <c r="B173" s="14"/>
      <c r="C173" s="10"/>
      <c r="D173" s="21"/>
      <c r="E173" s="12"/>
      <c r="F173" s="10"/>
      <c r="H173" s="14"/>
      <c r="I173" s="14"/>
      <c r="J173" s="10"/>
      <c r="K173" s="11"/>
      <c r="L173" s="12"/>
      <c r="M173" s="13"/>
    </row>
    <row r="174" spans="1:13">
      <c r="A174" s="14"/>
      <c r="B174" s="14"/>
      <c r="C174" s="10"/>
      <c r="D174" s="21"/>
      <c r="E174" s="12"/>
      <c r="F174" s="10"/>
      <c r="H174" s="14"/>
      <c r="I174" s="14"/>
      <c r="J174" s="10"/>
      <c r="K174" s="11"/>
      <c r="L174" s="12"/>
      <c r="M174" s="13"/>
    </row>
    <row r="175" spans="1:13">
      <c r="A175" s="14"/>
      <c r="B175" s="14"/>
      <c r="C175" s="10"/>
      <c r="D175" s="21"/>
      <c r="E175" s="12"/>
      <c r="F175" s="10"/>
      <c r="H175" s="14"/>
      <c r="I175" s="14"/>
      <c r="J175" s="10"/>
      <c r="K175" s="11"/>
      <c r="L175" s="12"/>
      <c r="M175" s="13"/>
    </row>
    <row r="176" spans="1:13">
      <c r="A176" s="14"/>
      <c r="B176" s="14"/>
      <c r="C176" s="10"/>
      <c r="D176" s="21"/>
      <c r="E176" s="12"/>
      <c r="F176" s="10"/>
      <c r="H176" s="14"/>
      <c r="I176" s="14"/>
      <c r="J176" s="10"/>
      <c r="K176" s="11"/>
      <c r="L176" s="12"/>
      <c r="M176" s="13"/>
    </row>
    <row r="177" spans="1:13">
      <c r="A177" s="14"/>
      <c r="B177" s="14"/>
      <c r="C177" s="10"/>
      <c r="D177" s="21"/>
      <c r="E177" s="12"/>
      <c r="F177" s="10"/>
      <c r="H177" s="14"/>
      <c r="I177" s="14"/>
      <c r="J177" s="10"/>
      <c r="K177" s="11"/>
      <c r="L177" s="12"/>
      <c r="M177" s="13"/>
    </row>
    <row r="178" spans="1:13">
      <c r="A178" s="14"/>
      <c r="B178" s="14"/>
      <c r="C178" s="10"/>
      <c r="D178" s="21"/>
      <c r="E178" s="12"/>
      <c r="F178" s="10"/>
      <c r="H178" s="14"/>
      <c r="I178" s="14"/>
      <c r="J178" s="10"/>
      <c r="K178" s="11"/>
      <c r="L178" s="12"/>
      <c r="M178" s="13"/>
    </row>
    <row r="179" spans="1:13">
      <c r="A179" s="14"/>
      <c r="B179" s="14"/>
      <c r="C179" s="10"/>
      <c r="D179" s="21"/>
      <c r="E179" s="12"/>
      <c r="F179" s="10"/>
      <c r="H179" s="14"/>
      <c r="I179" s="14"/>
      <c r="J179" s="10"/>
      <c r="K179" s="11"/>
      <c r="L179" s="12"/>
      <c r="M179" s="13"/>
    </row>
    <row r="180" spans="1:13">
      <c r="A180" s="14"/>
      <c r="B180" s="14"/>
      <c r="C180" s="10"/>
      <c r="D180" s="21"/>
      <c r="E180" s="12"/>
      <c r="F180" s="10"/>
      <c r="H180" s="14"/>
      <c r="I180" s="14"/>
      <c r="J180" s="10"/>
      <c r="K180" s="11"/>
      <c r="L180" s="12"/>
      <c r="M180" s="13"/>
    </row>
    <row r="181" spans="1:13">
      <c r="A181" s="14"/>
      <c r="B181" s="14"/>
      <c r="C181" s="10"/>
      <c r="D181" s="21"/>
      <c r="E181" s="12"/>
      <c r="F181" s="10"/>
      <c r="H181" s="14"/>
      <c r="I181" s="14"/>
      <c r="J181" s="10"/>
      <c r="K181" s="11"/>
      <c r="L181" s="12"/>
      <c r="M181" s="13"/>
    </row>
    <row r="182" spans="1:13">
      <c r="A182" s="14"/>
      <c r="B182" s="14"/>
      <c r="C182" s="10"/>
      <c r="D182" s="21"/>
      <c r="E182" s="12"/>
      <c r="F182" s="10"/>
      <c r="H182" s="14"/>
      <c r="I182" s="14"/>
      <c r="J182" s="10"/>
      <c r="K182" s="11"/>
      <c r="L182" s="12"/>
      <c r="M182" s="13"/>
    </row>
    <row r="183" spans="1:13">
      <c r="A183" s="14"/>
      <c r="B183" s="14"/>
      <c r="C183" s="10"/>
      <c r="D183" s="21"/>
      <c r="E183" s="12"/>
      <c r="F183" s="10"/>
      <c r="H183" s="14"/>
      <c r="I183" s="14"/>
      <c r="J183" s="10"/>
      <c r="K183" s="11"/>
      <c r="L183" s="12"/>
      <c r="M183" s="13"/>
    </row>
    <row r="184" spans="1:13">
      <c r="A184" s="14"/>
      <c r="B184" s="14"/>
      <c r="C184" s="10"/>
      <c r="D184" s="21"/>
      <c r="E184" s="12"/>
      <c r="F184" s="10"/>
      <c r="H184" s="14"/>
      <c r="I184" s="14"/>
      <c r="J184" s="10"/>
      <c r="K184" s="11"/>
      <c r="L184" s="12"/>
      <c r="M184" s="13"/>
    </row>
    <row r="185" spans="1:13">
      <c r="A185" s="14"/>
      <c r="B185" s="14"/>
      <c r="C185" s="10"/>
      <c r="D185" s="21"/>
      <c r="E185" s="12"/>
      <c r="F185" s="10"/>
      <c r="H185" s="14"/>
      <c r="I185" s="14"/>
      <c r="J185" s="10"/>
      <c r="K185" s="11"/>
      <c r="L185" s="12"/>
      <c r="M185" s="13"/>
    </row>
    <row r="186" spans="1:13">
      <c r="A186" s="14"/>
      <c r="B186" s="14"/>
      <c r="C186" s="10"/>
      <c r="D186" s="21"/>
      <c r="E186" s="12"/>
      <c r="F186" s="10"/>
      <c r="H186" s="14"/>
      <c r="I186" s="14"/>
      <c r="J186" s="10"/>
      <c r="K186" s="11"/>
      <c r="L186" s="12"/>
      <c r="M186" s="13"/>
    </row>
    <row r="187" spans="1:13">
      <c r="A187" s="14"/>
      <c r="B187" s="14"/>
      <c r="C187" s="10"/>
      <c r="D187" s="21"/>
      <c r="E187" s="12"/>
      <c r="F187" s="10"/>
      <c r="H187" s="14"/>
      <c r="I187" s="14"/>
      <c r="J187" s="10"/>
      <c r="K187" s="11"/>
      <c r="L187" s="12"/>
      <c r="M187" s="13"/>
    </row>
    <row r="188" spans="1:13">
      <c r="A188" s="14"/>
      <c r="B188" s="14"/>
      <c r="C188" s="10"/>
      <c r="D188" s="21"/>
      <c r="E188" s="12"/>
      <c r="F188" s="10"/>
      <c r="H188" s="14"/>
      <c r="I188" s="14"/>
      <c r="J188" s="10"/>
      <c r="K188" s="11"/>
      <c r="L188" s="12"/>
      <c r="M188" s="13"/>
    </row>
    <row r="189" spans="1:13">
      <c r="A189" s="14"/>
      <c r="B189" s="14"/>
      <c r="C189" s="10"/>
      <c r="D189" s="21"/>
      <c r="E189" s="12"/>
      <c r="F189" s="10"/>
      <c r="H189" s="14"/>
      <c r="I189" s="14"/>
      <c r="J189" s="10"/>
      <c r="K189" s="11"/>
      <c r="L189" s="12"/>
      <c r="M189" s="13"/>
    </row>
    <row r="190" spans="1:13">
      <c r="A190" s="14"/>
      <c r="B190" s="14"/>
      <c r="C190" s="10"/>
      <c r="D190" s="21"/>
      <c r="E190" s="12"/>
      <c r="F190" s="10"/>
      <c r="H190" s="14"/>
      <c r="I190" s="14"/>
      <c r="J190" s="10"/>
      <c r="K190" s="11"/>
      <c r="L190" s="12"/>
      <c r="M190" s="13"/>
    </row>
    <row r="191" spans="1:13">
      <c r="A191" s="14"/>
      <c r="B191" s="14"/>
      <c r="C191" s="10"/>
      <c r="D191" s="21"/>
      <c r="E191" s="12"/>
      <c r="F191" s="10"/>
      <c r="H191" s="14"/>
      <c r="I191" s="14"/>
      <c r="J191" s="10"/>
      <c r="K191" s="11"/>
      <c r="L191" s="12"/>
      <c r="M191" s="13"/>
    </row>
    <row r="192" spans="1:13">
      <c r="A192" s="14"/>
      <c r="B192" s="14"/>
      <c r="C192" s="10"/>
      <c r="D192" s="21"/>
      <c r="E192" s="12"/>
      <c r="F192" s="10"/>
      <c r="H192" s="14"/>
      <c r="I192" s="14"/>
      <c r="J192" s="10"/>
      <c r="K192" s="11"/>
      <c r="L192" s="12"/>
      <c r="M192" s="13"/>
    </row>
    <row r="193" spans="1:14">
      <c r="A193" s="14"/>
      <c r="B193" s="14"/>
      <c r="C193" s="10"/>
      <c r="D193" s="21"/>
      <c r="E193" s="12"/>
      <c r="F193" s="10"/>
      <c r="H193" s="14"/>
      <c r="I193" s="14"/>
      <c r="J193" s="10"/>
      <c r="K193" s="11"/>
      <c r="L193" s="12"/>
      <c r="M193" s="13"/>
    </row>
    <row r="194" spans="1:14">
      <c r="A194" s="5"/>
      <c r="B194" s="5"/>
      <c r="C194" s="15"/>
      <c r="D194" s="16"/>
      <c r="E194" s="5"/>
      <c r="F194" s="15"/>
      <c r="H194" s="5"/>
      <c r="I194" s="5"/>
      <c r="J194" s="15"/>
      <c r="K194" s="16"/>
      <c r="L194" s="5"/>
      <c r="M194" s="15"/>
    </row>
    <row r="195" spans="1:14">
      <c r="A195" s="14"/>
      <c r="B195" s="14"/>
      <c r="C195" s="10">
        <f>SUM(C5:C194)</f>
        <v>10530321.789999999</v>
      </c>
      <c r="D195" s="11"/>
      <c r="E195" s="12"/>
      <c r="F195" s="10">
        <f>SUM(F5:F194)</f>
        <v>4594634.07</v>
      </c>
      <c r="H195" s="14"/>
      <c r="I195" s="14"/>
      <c r="J195" s="10">
        <f>SUM(J5:J194)</f>
        <v>4415833.2758762902</v>
      </c>
      <c r="K195" s="11"/>
      <c r="L195" s="12"/>
      <c r="M195" s="10">
        <f>SUM(M5:M194)</f>
        <v>3480906.07</v>
      </c>
    </row>
    <row r="196" spans="1:14">
      <c r="A196" s="5"/>
      <c r="B196" s="5"/>
      <c r="C196" s="15"/>
      <c r="D196" s="16"/>
      <c r="E196" s="5"/>
      <c r="F196" s="15"/>
      <c r="H196" s="5"/>
      <c r="I196" s="5"/>
      <c r="J196" s="15"/>
      <c r="K196" s="16"/>
      <c r="L196" s="5"/>
      <c r="M196" s="15"/>
    </row>
    <row r="197" spans="1:14">
      <c r="D197" s="17"/>
      <c r="J197" s="4"/>
      <c r="K197" s="17"/>
      <c r="M197" s="4"/>
    </row>
    <row r="198" spans="1:14">
      <c r="C198" s="23">
        <f>+C195-F195</f>
        <v>5935687.7199999997</v>
      </c>
      <c r="D198" s="17"/>
      <c r="J198" s="23">
        <f>+J195-M195</f>
        <v>934927.20587628696</v>
      </c>
      <c r="K198" s="17"/>
      <c r="M198" s="4"/>
    </row>
    <row r="199" spans="1:14">
      <c r="D199" s="17"/>
      <c r="J199" s="4"/>
      <c r="K199" s="17"/>
      <c r="M199" s="4"/>
    </row>
    <row r="203" spans="1:14">
      <c r="A203" s="236" t="str">
        <f>[2]trb!$A$12</f>
        <v>Finished Goods Inventory</v>
      </c>
      <c r="B203" s="236"/>
      <c r="C203" s="236"/>
      <c r="D203" s="236"/>
      <c r="E203" s="236"/>
      <c r="F203" s="236"/>
      <c r="H203" s="236" t="str">
        <f>[2]trb!$A$13</f>
        <v>Merchandise Inventory</v>
      </c>
      <c r="I203" s="236"/>
      <c r="J203" s="236"/>
      <c r="K203" s="236"/>
      <c r="L203" s="236"/>
      <c r="M203" s="236"/>
    </row>
    <row r="204" spans="1:14">
      <c r="A204" s="6"/>
      <c r="B204" s="6"/>
      <c r="C204" s="7"/>
      <c r="D204" s="8"/>
      <c r="E204" s="9"/>
      <c r="F204" s="7"/>
      <c r="H204" s="6"/>
      <c r="I204" s="6"/>
      <c r="J204" s="7"/>
      <c r="K204" s="8"/>
      <c r="L204" s="9"/>
      <c r="M204" s="7"/>
    </row>
    <row r="205" spans="1:14">
      <c r="A205" s="30" t="s">
        <v>90</v>
      </c>
      <c r="B205" s="6"/>
      <c r="C205" s="10">
        <v>0</v>
      </c>
      <c r="D205" s="11"/>
      <c r="E205" s="12"/>
      <c r="F205" s="13"/>
      <c r="H205" s="30" t="s">
        <v>90</v>
      </c>
      <c r="I205" s="6"/>
      <c r="J205" s="10">
        <v>954159.070833334</v>
      </c>
      <c r="K205" s="21">
        <v>42559</v>
      </c>
      <c r="L205" s="12">
        <v>52</v>
      </c>
      <c r="M205" s="13">
        <v>96470.2</v>
      </c>
    </row>
    <row r="206" spans="1:14">
      <c r="A206" s="14"/>
      <c r="B206" s="14"/>
      <c r="C206" s="10"/>
      <c r="D206" s="11"/>
      <c r="E206" s="12"/>
      <c r="F206" s="13"/>
      <c r="H206" s="29">
        <v>42431</v>
      </c>
      <c r="I206" s="12">
        <v>8</v>
      </c>
      <c r="J206" s="13">
        <v>47489.4</v>
      </c>
      <c r="K206" s="21" t="s">
        <v>91</v>
      </c>
      <c r="L206" s="12">
        <v>53</v>
      </c>
      <c r="M206" s="13">
        <v>82219.37</v>
      </c>
    </row>
    <row r="207" spans="1:14">
      <c r="A207" s="14"/>
      <c r="B207" s="14"/>
      <c r="C207" s="10"/>
      <c r="D207" s="11"/>
      <c r="E207" s="12"/>
      <c r="F207" s="13"/>
      <c r="H207" s="29">
        <v>42433</v>
      </c>
      <c r="I207" s="12">
        <v>10</v>
      </c>
      <c r="J207" s="13">
        <v>54096</v>
      </c>
      <c r="K207" s="21" t="s">
        <v>91</v>
      </c>
      <c r="L207" s="14">
        <v>54</v>
      </c>
      <c r="M207" s="10">
        <v>31252.799999999999</v>
      </c>
    </row>
    <row r="208" spans="1:14">
      <c r="A208" s="14"/>
      <c r="B208" s="14"/>
      <c r="C208" s="10"/>
      <c r="D208" s="11"/>
      <c r="E208" s="12"/>
      <c r="F208" s="13"/>
      <c r="H208" s="29">
        <v>42473</v>
      </c>
      <c r="I208" s="12">
        <v>17</v>
      </c>
      <c r="J208" s="13">
        <v>132280</v>
      </c>
      <c r="K208" s="21">
        <v>42715</v>
      </c>
      <c r="L208" s="12">
        <v>100</v>
      </c>
      <c r="M208" s="13">
        <v>62961</v>
      </c>
      <c r="N208" s="36"/>
    </row>
    <row r="209" spans="1:13">
      <c r="A209" s="11"/>
      <c r="B209" s="12"/>
      <c r="C209" s="13"/>
      <c r="D209" s="11"/>
      <c r="E209" s="12"/>
      <c r="F209" s="13"/>
      <c r="H209" s="22" t="s">
        <v>91</v>
      </c>
      <c r="I209" s="14">
        <v>20</v>
      </c>
      <c r="J209" s="10">
        <v>54096</v>
      </c>
      <c r="K209" s="21" t="s">
        <v>91</v>
      </c>
      <c r="L209" s="12">
        <v>101</v>
      </c>
      <c r="M209" s="13">
        <v>58964.67</v>
      </c>
    </row>
    <row r="210" spans="1:13">
      <c r="A210" s="14"/>
      <c r="B210" s="14"/>
      <c r="C210" s="10"/>
      <c r="D210" s="11"/>
      <c r="E210" s="12"/>
      <c r="F210" s="13"/>
      <c r="H210" s="22">
        <v>42528</v>
      </c>
      <c r="I210" s="14">
        <v>33</v>
      </c>
      <c r="J210" s="37">
        <v>66811.199999999997</v>
      </c>
      <c r="K210" s="22">
        <v>42735</v>
      </c>
      <c r="L210" s="14">
        <v>104</v>
      </c>
      <c r="M210" s="10">
        <v>5816.8</v>
      </c>
    </row>
    <row r="211" spans="1:13">
      <c r="A211" s="14"/>
      <c r="B211" s="14"/>
      <c r="C211" s="10"/>
      <c r="D211" s="11"/>
      <c r="E211" s="12"/>
      <c r="F211" s="13"/>
      <c r="H211" s="29" t="s">
        <v>91</v>
      </c>
      <c r="I211" s="12">
        <v>34</v>
      </c>
      <c r="J211" s="37">
        <v>10920</v>
      </c>
      <c r="K211" s="22" t="s">
        <v>91</v>
      </c>
      <c r="L211" s="14">
        <v>105</v>
      </c>
      <c r="M211" s="10">
        <v>2106.5</v>
      </c>
    </row>
    <row r="212" spans="1:13">
      <c r="A212" s="14"/>
      <c r="B212" s="14"/>
      <c r="C212" s="10"/>
      <c r="D212" s="11"/>
      <c r="E212" s="12"/>
      <c r="F212" s="13"/>
      <c r="H212" s="29">
        <v>42552</v>
      </c>
      <c r="I212" s="14">
        <v>40</v>
      </c>
      <c r="J212" s="37">
        <v>19008</v>
      </c>
      <c r="K212" s="22" t="s">
        <v>91</v>
      </c>
      <c r="L212" s="14">
        <v>108</v>
      </c>
      <c r="M212" s="10">
        <v>54630</v>
      </c>
    </row>
    <row r="213" spans="1:13">
      <c r="A213" s="14"/>
      <c r="B213" s="14"/>
      <c r="C213" s="10"/>
      <c r="D213" s="11"/>
      <c r="E213" s="12"/>
      <c r="F213" s="13"/>
      <c r="H213" s="29" t="s">
        <v>91</v>
      </c>
      <c r="I213" s="14">
        <v>41</v>
      </c>
      <c r="J213" s="13">
        <v>12710.88</v>
      </c>
      <c r="K213" s="21"/>
      <c r="L213" s="12"/>
      <c r="M213" s="13"/>
    </row>
    <row r="214" spans="1:13">
      <c r="A214" s="14"/>
      <c r="B214" s="14"/>
      <c r="C214" s="10"/>
      <c r="D214" s="11"/>
      <c r="E214" s="12"/>
      <c r="F214" s="13"/>
      <c r="H214" s="22">
        <v>42566</v>
      </c>
      <c r="I214" s="14">
        <v>50</v>
      </c>
      <c r="J214" s="10">
        <v>19008</v>
      </c>
      <c r="K214" s="21"/>
      <c r="L214" s="12"/>
      <c r="M214" s="13"/>
    </row>
    <row r="215" spans="1:13">
      <c r="A215" s="14"/>
      <c r="B215" s="14"/>
      <c r="C215" s="10"/>
      <c r="D215" s="11"/>
      <c r="E215" s="12"/>
      <c r="F215" s="13"/>
      <c r="H215" s="22" t="s">
        <v>91</v>
      </c>
      <c r="I215" s="14">
        <v>51</v>
      </c>
      <c r="J215" s="10">
        <v>29928</v>
      </c>
      <c r="K215" s="21"/>
      <c r="L215" s="12"/>
      <c r="M215" s="13"/>
    </row>
    <row r="216" spans="1:13">
      <c r="A216" s="14"/>
      <c r="B216" s="14"/>
      <c r="C216" s="10"/>
      <c r="D216" s="11"/>
      <c r="E216" s="12"/>
      <c r="F216" s="13"/>
      <c r="H216" s="29">
        <v>42646</v>
      </c>
      <c r="I216" s="12">
        <v>78</v>
      </c>
      <c r="J216" s="13">
        <v>43008</v>
      </c>
      <c r="K216" s="21"/>
      <c r="L216" s="12"/>
      <c r="M216" s="13"/>
    </row>
    <row r="217" spans="1:13">
      <c r="A217" s="14"/>
      <c r="B217" s="14"/>
      <c r="C217" s="10"/>
      <c r="D217" s="11"/>
      <c r="E217" s="12"/>
      <c r="F217" s="13"/>
      <c r="H217" s="29">
        <v>42692</v>
      </c>
      <c r="I217" s="12">
        <v>86</v>
      </c>
      <c r="J217" s="13">
        <v>36360</v>
      </c>
      <c r="K217" s="21"/>
      <c r="L217" s="12"/>
      <c r="M217" s="13"/>
    </row>
    <row r="218" spans="1:13">
      <c r="A218" s="14"/>
      <c r="B218" s="14"/>
      <c r="C218" s="10"/>
      <c r="D218" s="11"/>
      <c r="E218" s="12"/>
      <c r="F218" s="13"/>
      <c r="H218" s="29" t="s">
        <v>91</v>
      </c>
      <c r="I218" s="12">
        <v>87</v>
      </c>
      <c r="J218" s="13">
        <v>29928</v>
      </c>
      <c r="K218" s="21"/>
      <c r="L218" s="12"/>
      <c r="M218" s="13"/>
    </row>
    <row r="219" spans="1:13">
      <c r="A219" s="14"/>
      <c r="B219" s="14"/>
      <c r="C219" s="10"/>
      <c r="D219" s="11"/>
      <c r="E219" s="12"/>
      <c r="F219" s="13"/>
      <c r="H219" s="29">
        <v>42713</v>
      </c>
      <c r="I219" s="12">
        <v>90</v>
      </c>
      <c r="J219" s="13">
        <v>36360</v>
      </c>
      <c r="K219" s="21"/>
      <c r="L219" s="12"/>
      <c r="M219" s="13"/>
    </row>
    <row r="220" spans="1:13">
      <c r="A220" s="14"/>
      <c r="B220" s="14"/>
      <c r="C220" s="10"/>
      <c r="D220" s="11"/>
      <c r="E220" s="12"/>
      <c r="F220" s="13"/>
      <c r="H220" s="22" t="s">
        <v>91</v>
      </c>
      <c r="I220" s="14">
        <v>91</v>
      </c>
      <c r="J220" s="10">
        <v>29928</v>
      </c>
      <c r="K220" s="21"/>
      <c r="L220" s="12"/>
      <c r="M220" s="13"/>
    </row>
    <row r="221" spans="1:13">
      <c r="A221" s="14"/>
      <c r="B221" s="14"/>
      <c r="C221" s="10"/>
      <c r="D221" s="11"/>
      <c r="E221" s="12"/>
      <c r="F221" s="13"/>
      <c r="H221" s="22">
        <v>42734</v>
      </c>
      <c r="I221" s="14">
        <v>110</v>
      </c>
      <c r="J221" s="10">
        <v>53928</v>
      </c>
      <c r="K221" s="21"/>
      <c r="L221" s="12"/>
      <c r="M221" s="13"/>
    </row>
    <row r="222" spans="1:13">
      <c r="A222" s="14"/>
      <c r="B222" s="14"/>
      <c r="C222" s="10"/>
      <c r="D222" s="11"/>
      <c r="E222" s="12"/>
      <c r="F222" s="13"/>
      <c r="H222" s="22"/>
      <c r="I222" s="14"/>
      <c r="J222" s="10"/>
      <c r="K222" s="21"/>
      <c r="L222" s="12"/>
      <c r="M222" s="13"/>
    </row>
    <row r="223" spans="1:13">
      <c r="A223" s="14"/>
      <c r="B223" s="14"/>
      <c r="C223" s="10"/>
      <c r="D223" s="11"/>
      <c r="E223" s="12"/>
      <c r="F223" s="13"/>
      <c r="H223" s="22"/>
      <c r="I223" s="14"/>
      <c r="J223" s="10"/>
      <c r="K223" s="21"/>
      <c r="L223" s="12"/>
      <c r="M223" s="13"/>
    </row>
    <row r="224" spans="1:13">
      <c r="A224" s="14"/>
      <c r="B224" s="14"/>
      <c r="C224" s="10"/>
      <c r="D224" s="11"/>
      <c r="E224" s="12"/>
      <c r="F224" s="13"/>
      <c r="H224" s="22"/>
      <c r="I224" s="14"/>
      <c r="J224" s="10"/>
      <c r="K224" s="21"/>
      <c r="L224" s="12"/>
      <c r="M224" s="13"/>
    </row>
    <row r="225" spans="1:13">
      <c r="A225" s="14"/>
      <c r="B225" s="14"/>
      <c r="C225" s="10"/>
      <c r="D225" s="11"/>
      <c r="E225" s="12"/>
      <c r="F225" s="13"/>
      <c r="H225" s="22"/>
      <c r="I225" s="14"/>
      <c r="J225" s="10"/>
      <c r="K225" s="11"/>
      <c r="L225" s="12"/>
      <c r="M225" s="13"/>
    </row>
    <row r="226" spans="1:13">
      <c r="A226" s="14"/>
      <c r="B226" s="14"/>
      <c r="C226" s="10"/>
      <c r="D226" s="11"/>
      <c r="E226" s="12"/>
      <c r="F226" s="13"/>
      <c r="H226" s="22"/>
      <c r="I226" s="14"/>
      <c r="J226" s="10"/>
      <c r="K226" s="11"/>
      <c r="L226" s="12"/>
      <c r="M226" s="13"/>
    </row>
    <row r="227" spans="1:13">
      <c r="A227" s="14"/>
      <c r="B227" s="14"/>
      <c r="C227" s="10"/>
      <c r="D227" s="11"/>
      <c r="E227" s="12"/>
      <c r="F227" s="13"/>
      <c r="H227" s="22"/>
      <c r="I227" s="14"/>
      <c r="J227" s="10"/>
      <c r="K227" s="11"/>
      <c r="L227" s="12"/>
      <c r="M227" s="13"/>
    </row>
    <row r="228" spans="1:13">
      <c r="A228" s="14"/>
      <c r="B228" s="14"/>
      <c r="C228" s="10"/>
      <c r="D228" s="11"/>
      <c r="E228" s="12"/>
      <c r="F228" s="13"/>
      <c r="H228" s="22"/>
      <c r="I228" s="14"/>
      <c r="J228" s="10"/>
      <c r="K228" s="11"/>
      <c r="L228" s="12"/>
      <c r="M228" s="13"/>
    </row>
    <row r="229" spans="1:13">
      <c r="A229" s="14"/>
      <c r="B229" s="14"/>
      <c r="C229" s="10"/>
      <c r="D229" s="11"/>
      <c r="E229" s="12"/>
      <c r="F229" s="13"/>
      <c r="H229" s="14"/>
      <c r="I229" s="14"/>
      <c r="J229" s="10"/>
      <c r="K229" s="11"/>
      <c r="L229" s="12"/>
      <c r="M229" s="13"/>
    </row>
    <row r="230" spans="1:13">
      <c r="A230" s="5"/>
      <c r="B230" s="5"/>
      <c r="C230" s="15"/>
      <c r="D230" s="16"/>
      <c r="E230" s="5"/>
      <c r="F230" s="15"/>
      <c r="H230" s="5"/>
      <c r="I230" s="5"/>
      <c r="J230" s="15"/>
      <c r="K230" s="16"/>
      <c r="L230" s="5"/>
      <c r="M230" s="15"/>
    </row>
    <row r="231" spans="1:13">
      <c r="A231" s="14"/>
      <c r="B231" s="14"/>
      <c r="C231" s="10">
        <f>SUM(C205:C230)</f>
        <v>0</v>
      </c>
      <c r="D231" s="11"/>
      <c r="E231" s="12"/>
      <c r="F231" s="10">
        <f>SUM(F205:F230)</f>
        <v>0</v>
      </c>
      <c r="H231" s="14"/>
      <c r="I231" s="14"/>
      <c r="J231" s="10">
        <f>SUM(J205:J230)</f>
        <v>1630018.55083333</v>
      </c>
      <c r="K231" s="11"/>
      <c r="L231" s="12"/>
      <c r="M231" s="10">
        <f>SUM(M205:M230)</f>
        <v>394421.34</v>
      </c>
    </row>
    <row r="232" spans="1:13">
      <c r="A232" s="5"/>
      <c r="B232" s="5"/>
      <c r="C232" s="15"/>
      <c r="D232" s="16"/>
      <c r="E232" s="5"/>
      <c r="F232" s="13"/>
      <c r="H232" s="5"/>
      <c r="I232" s="5"/>
      <c r="J232" s="15"/>
      <c r="K232" s="16"/>
      <c r="L232" s="5"/>
      <c r="M232" s="15"/>
    </row>
    <row r="233" spans="1:13">
      <c r="D233" s="17"/>
      <c r="F233" s="34"/>
      <c r="J233" s="4"/>
      <c r="K233" s="17"/>
      <c r="M233" s="4"/>
    </row>
    <row r="234" spans="1:13">
      <c r="C234" s="23">
        <f>+C231-F231</f>
        <v>0</v>
      </c>
      <c r="D234" s="17"/>
      <c r="F234" s="35"/>
      <c r="J234" s="23">
        <f>+J231-M231</f>
        <v>1235597.2108333299</v>
      </c>
      <c r="M234" s="4"/>
    </row>
    <row r="235" spans="1:13">
      <c r="D235" s="17"/>
      <c r="J235" s="4"/>
      <c r="K235" s="17"/>
      <c r="M235" s="4"/>
    </row>
    <row r="239" spans="1:13">
      <c r="A239" s="236" t="str">
        <f>[2]trb!$A$14</f>
        <v>Accounts Receivable</v>
      </c>
      <c r="B239" s="236"/>
      <c r="C239" s="236"/>
      <c r="D239" s="236"/>
      <c r="E239" s="236"/>
      <c r="F239" s="236"/>
      <c r="H239" s="236" t="str">
        <f>[2]trb!$A$15</f>
        <v>Land and Building</v>
      </c>
      <c r="I239" s="236"/>
      <c r="J239" s="236"/>
      <c r="K239" s="236"/>
      <c r="L239" s="236"/>
      <c r="M239" s="236"/>
    </row>
    <row r="240" spans="1:13">
      <c r="A240" s="6"/>
      <c r="B240" s="6"/>
      <c r="C240" s="7"/>
      <c r="D240" s="8"/>
      <c r="E240" s="9"/>
      <c r="F240" s="7"/>
      <c r="H240" s="6"/>
      <c r="I240" s="6"/>
      <c r="J240" s="7"/>
      <c r="K240" s="8"/>
      <c r="L240" s="9"/>
      <c r="M240" s="7"/>
    </row>
    <row r="241" spans="1:13">
      <c r="A241" s="30" t="s">
        <v>90</v>
      </c>
      <c r="B241" s="6"/>
      <c r="C241" s="10">
        <v>134000</v>
      </c>
      <c r="D241" s="11"/>
      <c r="E241" s="12"/>
      <c r="F241" s="13"/>
      <c r="H241" s="30" t="s">
        <v>90</v>
      </c>
      <c r="I241" s="6"/>
      <c r="J241" s="10">
        <v>2356493.67</v>
      </c>
      <c r="K241" s="11"/>
      <c r="L241" s="12"/>
      <c r="M241" s="13"/>
    </row>
    <row r="242" spans="1:13">
      <c r="A242" s="11"/>
      <c r="B242" s="12"/>
      <c r="C242" s="13"/>
      <c r="D242" s="11"/>
      <c r="E242" s="12"/>
      <c r="F242" s="13"/>
      <c r="H242" s="29"/>
      <c r="I242" s="12"/>
      <c r="J242" s="13"/>
      <c r="K242" s="11"/>
      <c r="L242" s="12"/>
      <c r="M242" s="13"/>
    </row>
    <row r="243" spans="1:13">
      <c r="A243" s="14"/>
      <c r="B243" s="14"/>
      <c r="C243" s="10"/>
      <c r="D243" s="11"/>
      <c r="E243" s="12"/>
      <c r="F243" s="13"/>
      <c r="H243" s="29"/>
      <c r="I243" s="12"/>
      <c r="J243" s="13"/>
      <c r="K243" s="11"/>
      <c r="L243" s="12"/>
      <c r="M243" s="13"/>
    </row>
    <row r="244" spans="1:13">
      <c r="A244" s="14"/>
      <c r="B244" s="14"/>
      <c r="C244" s="10"/>
      <c r="D244" s="11"/>
      <c r="E244" s="12"/>
      <c r="F244" s="13"/>
      <c r="H244" s="14"/>
      <c r="I244" s="14"/>
      <c r="J244" s="10"/>
      <c r="K244" s="11"/>
      <c r="L244" s="12"/>
      <c r="M244" s="13"/>
    </row>
    <row r="245" spans="1:13">
      <c r="A245" s="11"/>
      <c r="B245" s="12"/>
      <c r="C245" s="13"/>
      <c r="D245" s="11"/>
      <c r="E245" s="12"/>
      <c r="F245" s="13"/>
      <c r="H245" s="14"/>
      <c r="I245" s="14"/>
      <c r="J245" s="10"/>
      <c r="K245" s="11"/>
      <c r="L245" s="12"/>
      <c r="M245" s="13"/>
    </row>
    <row r="246" spans="1:13">
      <c r="A246" s="14"/>
      <c r="B246" s="14"/>
      <c r="C246" s="10"/>
      <c r="D246" s="11"/>
      <c r="E246" s="12"/>
      <c r="F246" s="13"/>
      <c r="H246" s="14"/>
      <c r="I246" s="14"/>
      <c r="J246" s="10"/>
      <c r="K246" s="11"/>
      <c r="L246" s="12"/>
      <c r="M246" s="13"/>
    </row>
    <row r="247" spans="1:13">
      <c r="A247" s="14"/>
      <c r="B247" s="14"/>
      <c r="C247" s="10"/>
      <c r="D247" s="11"/>
      <c r="E247" s="12"/>
      <c r="F247" s="13"/>
      <c r="H247" s="14"/>
      <c r="I247" s="14"/>
      <c r="J247" s="10"/>
      <c r="K247" s="11"/>
      <c r="L247" s="12"/>
      <c r="M247" s="13"/>
    </row>
    <row r="248" spans="1:13">
      <c r="A248" s="14"/>
      <c r="B248" s="14"/>
      <c r="C248" s="10"/>
      <c r="D248" s="11"/>
      <c r="E248" s="12"/>
      <c r="F248" s="13"/>
      <c r="H248" s="14"/>
      <c r="I248" s="14"/>
      <c r="J248" s="10"/>
      <c r="K248" s="11"/>
      <c r="L248" s="12"/>
      <c r="M248" s="13"/>
    </row>
    <row r="249" spans="1:13">
      <c r="A249" s="14"/>
      <c r="B249" s="14"/>
      <c r="C249" s="10"/>
      <c r="D249" s="11"/>
      <c r="E249" s="12"/>
      <c r="F249" s="13"/>
      <c r="H249" s="14"/>
      <c r="I249" s="14"/>
      <c r="J249" s="10"/>
      <c r="K249" s="11"/>
      <c r="L249" s="12"/>
      <c r="M249" s="13"/>
    </row>
    <row r="250" spans="1:13">
      <c r="A250" s="5"/>
      <c r="B250" s="5"/>
      <c r="C250" s="15"/>
      <c r="D250" s="16"/>
      <c r="E250" s="5"/>
      <c r="F250" s="15"/>
      <c r="H250" s="5"/>
      <c r="I250" s="5"/>
      <c r="J250" s="15"/>
      <c r="K250" s="16"/>
      <c r="L250" s="5"/>
      <c r="M250" s="15"/>
    </row>
    <row r="251" spans="1:13">
      <c r="A251" s="14"/>
      <c r="B251" s="14"/>
      <c r="C251" s="10">
        <f>SUM(C241:C250)</f>
        <v>134000</v>
      </c>
      <c r="D251" s="11"/>
      <c r="E251" s="12"/>
      <c r="F251" s="10">
        <f>SUM(F241:F250)</f>
        <v>0</v>
      </c>
      <c r="H251" s="14"/>
      <c r="I251" s="14"/>
      <c r="J251" s="10">
        <f>SUM(J241:J250)</f>
        <v>2356493.67</v>
      </c>
      <c r="K251" s="11"/>
      <c r="L251" s="12"/>
      <c r="M251" s="10">
        <f>SUM(M241:M250)</f>
        <v>0</v>
      </c>
    </row>
    <row r="252" spans="1:13">
      <c r="A252" s="5"/>
      <c r="B252" s="5"/>
      <c r="C252" s="15"/>
      <c r="D252" s="16"/>
      <c r="E252" s="5"/>
      <c r="F252" s="15"/>
      <c r="H252" s="5"/>
      <c r="I252" s="5"/>
      <c r="J252" s="15"/>
      <c r="K252" s="16"/>
      <c r="L252" s="5"/>
      <c r="M252" s="15"/>
    </row>
    <row r="253" spans="1:13">
      <c r="D253" s="17"/>
      <c r="J253" s="4"/>
      <c r="K253" s="17"/>
      <c r="M253" s="4"/>
    </row>
    <row r="254" spans="1:13">
      <c r="C254" s="23">
        <f>+C251-F251</f>
        <v>134000</v>
      </c>
      <c r="D254" s="17"/>
      <c r="J254" s="23">
        <f>+J251-M251</f>
        <v>2356493.67</v>
      </c>
      <c r="K254" s="17"/>
      <c r="M254" s="4"/>
    </row>
    <row r="255" spans="1:13">
      <c r="D255" s="17"/>
      <c r="J255" s="4"/>
      <c r="K255" s="17"/>
      <c r="M255" s="4"/>
    </row>
    <row r="259" spans="1:13">
      <c r="A259" s="236" t="str">
        <f>[2]trb!$A$16</f>
        <v>Transportation Equipment</v>
      </c>
      <c r="B259" s="236"/>
      <c r="C259" s="236"/>
      <c r="D259" s="236"/>
      <c r="E259" s="236"/>
      <c r="F259" s="236"/>
      <c r="H259" s="236" t="str">
        <f>[2]trb!$A$17</f>
        <v>Office Equipment</v>
      </c>
      <c r="I259" s="236"/>
      <c r="J259" s="236"/>
      <c r="K259" s="236"/>
      <c r="L259" s="236"/>
      <c r="M259" s="236"/>
    </row>
    <row r="260" spans="1:13">
      <c r="A260" s="6"/>
      <c r="B260" s="6"/>
      <c r="C260" s="7"/>
      <c r="D260" s="8"/>
      <c r="E260" s="9"/>
      <c r="F260" s="7"/>
      <c r="H260" s="6"/>
      <c r="I260" s="6"/>
      <c r="J260" s="7"/>
      <c r="K260" s="8"/>
      <c r="L260" s="9"/>
      <c r="M260" s="7"/>
    </row>
    <row r="261" spans="1:13">
      <c r="A261" s="30" t="s">
        <v>90</v>
      </c>
      <c r="B261" s="6"/>
      <c r="C261" s="10">
        <v>1480000</v>
      </c>
      <c r="D261" s="11"/>
      <c r="E261" s="12"/>
      <c r="F261" s="13"/>
      <c r="H261" s="30" t="s">
        <v>90</v>
      </c>
      <c r="I261" s="6"/>
      <c r="J261" s="10">
        <v>80778</v>
      </c>
      <c r="K261" s="11"/>
      <c r="L261" s="12"/>
      <c r="M261" s="13"/>
    </row>
    <row r="262" spans="1:13">
      <c r="A262" s="11"/>
      <c r="B262" s="12"/>
      <c r="C262" s="13"/>
      <c r="D262" s="11"/>
      <c r="E262" s="12"/>
      <c r="F262" s="13"/>
      <c r="H262" s="29"/>
      <c r="I262" s="12"/>
      <c r="J262" s="13"/>
      <c r="K262" s="11"/>
      <c r="L262" s="12"/>
      <c r="M262" s="13"/>
    </row>
    <row r="263" spans="1:13">
      <c r="A263" s="14"/>
      <c r="B263" s="14"/>
      <c r="C263" s="10"/>
      <c r="D263" s="11"/>
      <c r="E263" s="12"/>
      <c r="F263" s="13"/>
      <c r="H263" s="14"/>
      <c r="I263" s="14"/>
      <c r="J263" s="10"/>
      <c r="K263" s="11"/>
      <c r="L263" s="12"/>
      <c r="M263" s="13"/>
    </row>
    <row r="264" spans="1:13">
      <c r="A264" s="14"/>
      <c r="B264" s="14"/>
      <c r="C264" s="10"/>
      <c r="D264" s="11"/>
      <c r="E264" s="12"/>
      <c r="F264" s="13"/>
      <c r="H264" s="14"/>
      <c r="I264" s="14"/>
      <c r="J264" s="10"/>
      <c r="K264" s="11"/>
      <c r="L264" s="12"/>
      <c r="M264" s="13"/>
    </row>
    <row r="265" spans="1:13">
      <c r="A265" s="11"/>
      <c r="B265" s="12"/>
      <c r="C265" s="13"/>
      <c r="D265" s="11"/>
      <c r="E265" s="12"/>
      <c r="F265" s="13"/>
      <c r="H265" s="14"/>
      <c r="I265" s="14"/>
      <c r="J265" s="10"/>
      <c r="K265" s="11"/>
      <c r="L265" s="12"/>
      <c r="M265" s="13"/>
    </row>
    <row r="266" spans="1:13">
      <c r="A266" s="14"/>
      <c r="B266" s="14"/>
      <c r="C266" s="10"/>
      <c r="D266" s="11"/>
      <c r="E266" s="12"/>
      <c r="F266" s="13"/>
      <c r="H266" s="14"/>
      <c r="I266" s="14"/>
      <c r="J266" s="10"/>
      <c r="K266" s="11"/>
      <c r="L266" s="12"/>
      <c r="M266" s="13"/>
    </row>
    <row r="267" spans="1:13">
      <c r="A267" s="14"/>
      <c r="B267" s="14"/>
      <c r="C267" s="10"/>
      <c r="D267" s="11"/>
      <c r="E267" s="12"/>
      <c r="F267" s="13"/>
      <c r="H267" s="14"/>
      <c r="I267" s="14"/>
      <c r="J267" s="10"/>
      <c r="K267" s="11"/>
      <c r="L267" s="12"/>
      <c r="M267" s="13"/>
    </row>
    <row r="268" spans="1:13">
      <c r="A268" s="14"/>
      <c r="B268" s="14"/>
      <c r="C268" s="10"/>
      <c r="D268" s="11"/>
      <c r="E268" s="12"/>
      <c r="F268" s="13"/>
      <c r="H268" s="14"/>
      <c r="I268" s="14"/>
      <c r="J268" s="10"/>
      <c r="K268" s="11"/>
      <c r="L268" s="12"/>
      <c r="M268" s="13"/>
    </row>
    <row r="269" spans="1:13">
      <c r="A269" s="14"/>
      <c r="B269" s="14"/>
      <c r="C269" s="10"/>
      <c r="D269" s="11"/>
      <c r="E269" s="12"/>
      <c r="F269" s="13"/>
      <c r="H269" s="14"/>
      <c r="I269" s="14"/>
      <c r="J269" s="10"/>
      <c r="K269" s="11"/>
      <c r="L269" s="12"/>
      <c r="M269" s="13"/>
    </row>
    <row r="270" spans="1:13">
      <c r="A270" s="5"/>
      <c r="B270" s="5"/>
      <c r="C270" s="15"/>
      <c r="D270" s="16"/>
      <c r="E270" s="5"/>
      <c r="F270" s="15"/>
      <c r="H270" s="5"/>
      <c r="I270" s="5"/>
      <c r="J270" s="15"/>
      <c r="K270" s="16"/>
      <c r="L270" s="5"/>
      <c r="M270" s="15"/>
    </row>
    <row r="271" spans="1:13">
      <c r="A271" s="14"/>
      <c r="B271" s="14"/>
      <c r="C271" s="10">
        <f>SUM(C261:C270)</f>
        <v>1480000</v>
      </c>
      <c r="D271" s="11"/>
      <c r="E271" s="12"/>
      <c r="F271" s="10">
        <f>SUM(F261:F270)</f>
        <v>0</v>
      </c>
      <c r="H271" s="14"/>
      <c r="I271" s="14"/>
      <c r="J271" s="10">
        <f>SUM(J261:J270)</f>
        <v>80778</v>
      </c>
      <c r="K271" s="11"/>
      <c r="L271" s="12"/>
      <c r="M271" s="10">
        <f>SUM(M261:M270)</f>
        <v>0</v>
      </c>
    </row>
    <row r="272" spans="1:13">
      <c r="A272" s="5"/>
      <c r="B272" s="5"/>
      <c r="C272" s="15"/>
      <c r="D272" s="16"/>
      <c r="E272" s="5"/>
      <c r="F272" s="15"/>
      <c r="H272" s="5"/>
      <c r="I272" s="5"/>
      <c r="J272" s="15"/>
      <c r="K272" s="16"/>
      <c r="L272" s="5"/>
      <c r="M272" s="15"/>
    </row>
    <row r="273" spans="1:13">
      <c r="D273" s="17"/>
      <c r="J273" s="4"/>
      <c r="K273" s="17"/>
      <c r="M273" s="4"/>
    </row>
    <row r="274" spans="1:13">
      <c r="C274" s="23">
        <f>+C271-F271</f>
        <v>1480000</v>
      </c>
      <c r="D274" s="17"/>
      <c r="J274" s="23">
        <f>+J271-M271</f>
        <v>80778</v>
      </c>
      <c r="K274" s="17"/>
      <c r="M274" s="4"/>
    </row>
    <row r="275" spans="1:13">
      <c r="D275" s="17"/>
      <c r="J275" s="4"/>
      <c r="K275" s="17"/>
      <c r="M275" s="4"/>
    </row>
    <row r="278" spans="1:13">
      <c r="A278" s="38" t="s">
        <v>92</v>
      </c>
    </row>
    <row r="281" spans="1:13">
      <c r="A281" s="236" t="str">
        <f>[2]trb!$A$18</f>
        <v>Accum. Depreciation - TE</v>
      </c>
      <c r="B281" s="236"/>
      <c r="C281" s="236"/>
      <c r="D281" s="236"/>
      <c r="E281" s="236"/>
      <c r="F281" s="236"/>
      <c r="H281" s="236" t="str">
        <f>[2]trb!$A$19</f>
        <v>Accum. Depreciation - OE</v>
      </c>
      <c r="I281" s="236"/>
      <c r="J281" s="236"/>
      <c r="K281" s="236"/>
      <c r="L281" s="236"/>
      <c r="M281" s="236"/>
    </row>
    <row r="282" spans="1:13">
      <c r="A282" s="6"/>
      <c r="B282" s="6"/>
      <c r="C282" s="7"/>
      <c r="D282" s="8"/>
      <c r="E282" s="9"/>
      <c r="F282" s="7"/>
      <c r="H282" s="6"/>
      <c r="I282" s="6"/>
      <c r="J282" s="7"/>
      <c r="K282" s="8"/>
      <c r="L282" s="9"/>
      <c r="M282" s="7"/>
    </row>
    <row r="283" spans="1:13">
      <c r="A283" s="6"/>
      <c r="B283" s="6"/>
      <c r="C283" s="10"/>
      <c r="D283" s="26" t="s">
        <v>90</v>
      </c>
      <c r="E283" s="12"/>
      <c r="F283" s="13">
        <v>1422333.8829166701</v>
      </c>
      <c r="H283" s="6"/>
      <c r="I283" s="6"/>
      <c r="J283" s="10"/>
      <c r="K283" s="26" t="s">
        <v>90</v>
      </c>
      <c r="L283" s="12"/>
      <c r="M283" s="13">
        <v>64692.34</v>
      </c>
    </row>
    <row r="284" spans="1:13">
      <c r="A284" s="11"/>
      <c r="B284" s="12"/>
      <c r="C284" s="13"/>
      <c r="D284" s="21">
        <v>42505</v>
      </c>
      <c r="E284" s="12">
        <v>28</v>
      </c>
      <c r="F284" s="13">
        <v>33333.25</v>
      </c>
      <c r="H284" s="14"/>
      <c r="I284" s="14"/>
      <c r="J284" s="10"/>
      <c r="K284" s="21">
        <v>42505</v>
      </c>
      <c r="L284" s="12">
        <v>28</v>
      </c>
      <c r="M284" s="13">
        <v>9435.5300000000007</v>
      </c>
    </row>
    <row r="285" spans="1:13">
      <c r="A285" s="14"/>
      <c r="B285" s="14"/>
      <c r="C285" s="10"/>
      <c r="D285" s="21">
        <v>42589</v>
      </c>
      <c r="E285" s="12">
        <v>59</v>
      </c>
      <c r="F285" s="13">
        <v>19999.95</v>
      </c>
      <c r="H285" s="14"/>
      <c r="I285" s="14"/>
      <c r="J285" s="10"/>
      <c r="K285" s="21">
        <v>42589</v>
      </c>
      <c r="L285" s="12">
        <v>59</v>
      </c>
      <c r="M285" s="13">
        <v>2215.3200000000002</v>
      </c>
    </row>
    <row r="286" spans="1:13">
      <c r="A286" s="14"/>
      <c r="B286" s="14"/>
      <c r="C286" s="10"/>
      <c r="D286" s="21">
        <v>42715</v>
      </c>
      <c r="E286" s="12">
        <v>102</v>
      </c>
      <c r="F286" s="13">
        <v>26666.6</v>
      </c>
      <c r="H286" s="14"/>
      <c r="I286" s="14"/>
      <c r="J286" s="10"/>
      <c r="K286" s="21">
        <v>42715</v>
      </c>
      <c r="L286" s="12">
        <v>102</v>
      </c>
      <c r="M286" s="13">
        <v>2953.76</v>
      </c>
    </row>
    <row r="287" spans="1:13">
      <c r="A287" s="11"/>
      <c r="B287" s="12"/>
      <c r="C287" s="13"/>
      <c r="D287" s="21"/>
      <c r="E287" s="12"/>
      <c r="F287" s="13"/>
      <c r="H287" s="14"/>
      <c r="I287" s="14"/>
      <c r="J287" s="10"/>
      <c r="K287" s="21"/>
      <c r="L287" s="12"/>
      <c r="M287" s="13"/>
    </row>
    <row r="288" spans="1:13">
      <c r="A288" s="14"/>
      <c r="B288" s="14"/>
      <c r="C288" s="10"/>
      <c r="D288" s="21"/>
      <c r="E288" s="12"/>
      <c r="F288" s="13"/>
      <c r="H288" s="14"/>
      <c r="I288" s="14"/>
      <c r="J288" s="10"/>
      <c r="K288" s="21"/>
      <c r="L288" s="12"/>
      <c r="M288" s="13"/>
    </row>
    <row r="289" spans="1:13">
      <c r="A289" s="14"/>
      <c r="B289" s="14"/>
      <c r="C289" s="10"/>
      <c r="D289" s="21"/>
      <c r="E289" s="12"/>
      <c r="F289" s="13"/>
      <c r="H289" s="14"/>
      <c r="I289" s="14"/>
      <c r="J289" s="10"/>
      <c r="K289" s="21"/>
      <c r="L289" s="12"/>
      <c r="M289" s="13"/>
    </row>
    <row r="290" spans="1:13">
      <c r="A290" s="14"/>
      <c r="B290" s="14"/>
      <c r="C290" s="10"/>
      <c r="D290" s="21"/>
      <c r="E290" s="12"/>
      <c r="F290" s="13"/>
      <c r="H290" s="14"/>
      <c r="I290" s="14"/>
      <c r="J290" s="10"/>
      <c r="K290" s="21"/>
      <c r="L290" s="12"/>
      <c r="M290" s="13"/>
    </row>
    <row r="291" spans="1:13">
      <c r="A291" s="14"/>
      <c r="B291" s="14"/>
      <c r="C291" s="10"/>
      <c r="D291" s="21"/>
      <c r="E291" s="12"/>
      <c r="F291" s="13"/>
      <c r="H291" s="14"/>
      <c r="I291" s="14"/>
      <c r="J291" s="10"/>
      <c r="K291" s="21"/>
      <c r="L291" s="12"/>
      <c r="M291" s="13"/>
    </row>
    <row r="292" spans="1:13">
      <c r="A292" s="14"/>
      <c r="B292" s="14"/>
      <c r="C292" s="10"/>
      <c r="D292" s="21"/>
      <c r="E292" s="12"/>
      <c r="F292" s="13"/>
      <c r="H292" s="14"/>
      <c r="I292" s="14"/>
      <c r="J292" s="10"/>
      <c r="K292" s="21"/>
      <c r="L292" s="12"/>
      <c r="M292" s="13"/>
    </row>
    <row r="293" spans="1:13">
      <c r="A293" s="14"/>
      <c r="B293" s="14"/>
      <c r="C293" s="10"/>
      <c r="D293" s="21"/>
      <c r="E293" s="12"/>
      <c r="F293" s="13"/>
      <c r="H293" s="14"/>
      <c r="I293" s="14"/>
      <c r="J293" s="10"/>
      <c r="K293" s="11"/>
      <c r="L293" s="12"/>
      <c r="M293" s="13"/>
    </row>
    <row r="294" spans="1:13">
      <c r="A294" s="14"/>
      <c r="B294" s="14"/>
      <c r="C294" s="10"/>
      <c r="D294" s="21"/>
      <c r="E294" s="12"/>
      <c r="F294" s="13"/>
      <c r="H294" s="14"/>
      <c r="I294" s="14"/>
      <c r="J294" s="10"/>
      <c r="K294" s="11"/>
      <c r="L294" s="12"/>
      <c r="M294" s="13"/>
    </row>
    <row r="295" spans="1:13">
      <c r="A295" s="5"/>
      <c r="B295" s="5"/>
      <c r="C295" s="15"/>
      <c r="D295" s="16"/>
      <c r="E295" s="5"/>
      <c r="F295" s="15"/>
      <c r="H295" s="5"/>
      <c r="I295" s="5"/>
      <c r="J295" s="15"/>
      <c r="K295" s="16"/>
      <c r="L295" s="5"/>
      <c r="M295" s="15"/>
    </row>
    <row r="296" spans="1:13">
      <c r="A296" s="14"/>
      <c r="B296" s="14"/>
      <c r="C296" s="10">
        <f>SUM(C283:C295)</f>
        <v>0</v>
      </c>
      <c r="D296" s="11"/>
      <c r="E296" s="12"/>
      <c r="F296" s="10">
        <f>SUM(F283:F295)</f>
        <v>1502333.6829166701</v>
      </c>
      <c r="H296" s="14"/>
      <c r="I296" s="14"/>
      <c r="J296" s="10">
        <f>SUM(J283:J295)</f>
        <v>0</v>
      </c>
      <c r="K296" s="11"/>
      <c r="L296" s="12"/>
      <c r="M296" s="10">
        <f>SUM(M283:M295)</f>
        <v>79296.95</v>
      </c>
    </row>
    <row r="297" spans="1:13">
      <c r="A297" s="5"/>
      <c r="B297" s="5"/>
      <c r="C297" s="15"/>
      <c r="D297" s="16"/>
      <c r="E297" s="5"/>
      <c r="F297" s="15"/>
      <c r="H297" s="5"/>
      <c r="I297" s="5"/>
      <c r="J297" s="15"/>
      <c r="K297" s="16"/>
      <c r="L297" s="5"/>
      <c r="M297" s="15"/>
    </row>
    <row r="298" spans="1:13">
      <c r="D298" s="39"/>
      <c r="J298" s="4"/>
      <c r="K298" s="17"/>
      <c r="M298" s="4"/>
    </row>
    <row r="299" spans="1:13">
      <c r="C299" s="24"/>
      <c r="D299" s="17"/>
      <c r="F299" s="20">
        <f>+F296-C296</f>
        <v>1502333.6829166701</v>
      </c>
      <c r="J299" s="24"/>
      <c r="K299" s="17"/>
      <c r="M299" s="20">
        <f>+M296+J296</f>
        <v>79296.95</v>
      </c>
    </row>
    <row r="300" spans="1:13">
      <c r="D300" s="17"/>
      <c r="J300" s="4"/>
      <c r="K300" s="17"/>
      <c r="M300" s="4"/>
    </row>
    <row r="304" spans="1:13">
      <c r="A304" s="236" t="str">
        <f>[2]trb!$A$20</f>
        <v>Accum. Depreciation - Bldg</v>
      </c>
      <c r="B304" s="236"/>
      <c r="C304" s="236"/>
      <c r="D304" s="236"/>
      <c r="E304" s="236"/>
      <c r="F304" s="236"/>
      <c r="H304" s="237"/>
      <c r="I304" s="237"/>
      <c r="J304" s="237"/>
      <c r="K304" s="237"/>
      <c r="L304" s="237"/>
      <c r="M304" s="237"/>
    </row>
    <row r="305" spans="1:13">
      <c r="A305" s="6"/>
      <c r="B305" s="6"/>
      <c r="C305" s="7"/>
      <c r="D305" s="8"/>
      <c r="E305" s="9"/>
      <c r="F305" s="7"/>
      <c r="H305" s="12"/>
      <c r="I305" s="12"/>
      <c r="J305" s="13"/>
      <c r="K305" s="12"/>
      <c r="L305" s="12"/>
      <c r="M305" s="13"/>
    </row>
    <row r="306" spans="1:13">
      <c r="A306" s="6"/>
      <c r="B306" s="6"/>
      <c r="C306" s="10"/>
      <c r="D306" s="26" t="s">
        <v>90</v>
      </c>
      <c r="E306" s="12"/>
      <c r="F306" s="13">
        <v>176614.53224999999</v>
      </c>
      <c r="H306" s="12"/>
      <c r="I306" s="12"/>
      <c r="J306" s="13"/>
      <c r="K306" s="12"/>
      <c r="L306" s="12"/>
      <c r="M306" s="13"/>
    </row>
    <row r="307" spans="1:13">
      <c r="A307" s="11"/>
      <c r="B307" s="12"/>
      <c r="C307" s="13"/>
      <c r="D307" s="21">
        <v>42505</v>
      </c>
      <c r="E307" s="12">
        <v>28</v>
      </c>
      <c r="F307" s="13">
        <v>25230.67</v>
      </c>
      <c r="H307" s="12"/>
      <c r="I307" s="12"/>
      <c r="J307" s="13"/>
      <c r="K307" s="12"/>
      <c r="L307" s="12"/>
      <c r="M307" s="13"/>
    </row>
    <row r="308" spans="1:13">
      <c r="A308" s="14"/>
      <c r="B308" s="14"/>
      <c r="C308" s="10"/>
      <c r="D308" s="21">
        <v>42589</v>
      </c>
      <c r="E308" s="12">
        <v>59</v>
      </c>
      <c r="F308" s="13">
        <v>15138.4</v>
      </c>
      <c r="H308" s="12"/>
      <c r="I308" s="12"/>
      <c r="J308" s="13"/>
      <c r="K308" s="12"/>
      <c r="L308" s="12"/>
      <c r="M308" s="13"/>
    </row>
    <row r="309" spans="1:13">
      <c r="A309" s="14"/>
      <c r="B309" s="14"/>
      <c r="C309" s="10"/>
      <c r="D309" s="21">
        <v>42715</v>
      </c>
      <c r="E309" s="12">
        <v>102</v>
      </c>
      <c r="F309" s="13">
        <v>20184.54</v>
      </c>
      <c r="H309" s="12"/>
      <c r="I309" s="12"/>
      <c r="J309" s="13"/>
      <c r="K309" s="12"/>
      <c r="L309" s="12"/>
      <c r="M309" s="13"/>
    </row>
    <row r="310" spans="1:13">
      <c r="A310" s="11"/>
      <c r="B310" s="12"/>
      <c r="C310" s="13"/>
      <c r="D310" s="21"/>
      <c r="E310" s="12"/>
      <c r="F310" s="13"/>
      <c r="H310" s="12"/>
      <c r="I310" s="12"/>
      <c r="J310" s="13"/>
      <c r="K310" s="12"/>
      <c r="L310" s="12"/>
      <c r="M310" s="13"/>
    </row>
    <row r="311" spans="1:13">
      <c r="A311" s="14"/>
      <c r="B311" s="14"/>
      <c r="C311" s="10"/>
      <c r="D311" s="21"/>
      <c r="E311" s="12"/>
      <c r="F311" s="13"/>
      <c r="H311" s="12"/>
      <c r="I311" s="12"/>
      <c r="J311" s="13"/>
      <c r="K311" s="12"/>
      <c r="L311" s="12"/>
      <c r="M311" s="13"/>
    </row>
    <row r="312" spans="1:13">
      <c r="A312" s="14"/>
      <c r="B312" s="14"/>
      <c r="C312" s="10"/>
      <c r="D312" s="21"/>
      <c r="E312" s="12"/>
      <c r="F312" s="13"/>
      <c r="H312" s="12"/>
      <c r="I312" s="12"/>
      <c r="J312" s="13"/>
      <c r="K312" s="12"/>
      <c r="L312" s="12"/>
      <c r="M312" s="13"/>
    </row>
    <row r="313" spans="1:13">
      <c r="A313" s="14"/>
      <c r="B313" s="14"/>
      <c r="C313" s="10"/>
      <c r="D313" s="21"/>
      <c r="E313" s="12"/>
      <c r="F313" s="13"/>
      <c r="H313" s="12"/>
      <c r="I313" s="12"/>
      <c r="J313" s="13"/>
      <c r="K313" s="12"/>
      <c r="L313" s="12"/>
      <c r="M313" s="13"/>
    </row>
    <row r="314" spans="1:13">
      <c r="A314" s="14"/>
      <c r="B314" s="14"/>
      <c r="C314" s="10"/>
      <c r="D314" s="21"/>
      <c r="E314" s="12"/>
      <c r="F314" s="13"/>
      <c r="H314" s="12"/>
      <c r="I314" s="12"/>
      <c r="J314" s="13"/>
      <c r="K314" s="12"/>
      <c r="L314" s="12"/>
      <c r="M314" s="13"/>
    </row>
    <row r="315" spans="1:13">
      <c r="A315" s="14"/>
      <c r="B315" s="14"/>
      <c r="C315" s="10"/>
      <c r="D315" s="21"/>
      <c r="E315" s="12"/>
      <c r="F315" s="13"/>
      <c r="H315" s="12"/>
      <c r="I315" s="12"/>
      <c r="J315" s="13"/>
      <c r="K315" s="12"/>
      <c r="L315" s="12"/>
      <c r="M315" s="13"/>
    </row>
    <row r="316" spans="1:13">
      <c r="A316" s="14"/>
      <c r="B316" s="14"/>
      <c r="C316" s="10"/>
      <c r="D316" s="21"/>
      <c r="E316" s="12"/>
      <c r="F316" s="13"/>
      <c r="H316" s="12"/>
      <c r="I316" s="12"/>
      <c r="J316" s="13"/>
      <c r="K316" s="12"/>
      <c r="L316" s="12"/>
      <c r="M316" s="13"/>
    </row>
    <row r="317" spans="1:13">
      <c r="A317" s="14"/>
      <c r="B317" s="14"/>
      <c r="C317" s="10"/>
      <c r="D317" s="21"/>
      <c r="E317" s="12"/>
      <c r="F317" s="13"/>
      <c r="H317" s="12"/>
      <c r="I317" s="12"/>
      <c r="J317" s="13"/>
      <c r="K317" s="12"/>
      <c r="L317" s="12"/>
      <c r="M317" s="13"/>
    </row>
    <row r="318" spans="1:13">
      <c r="A318" s="5"/>
      <c r="B318" s="5"/>
      <c r="C318" s="15"/>
      <c r="D318" s="16"/>
      <c r="E318" s="5"/>
      <c r="F318" s="15"/>
      <c r="H318" s="12"/>
      <c r="I318" s="12"/>
      <c r="J318" s="13"/>
      <c r="K318" s="12"/>
      <c r="L318" s="12"/>
      <c r="M318" s="13"/>
    </row>
    <row r="319" spans="1:13">
      <c r="A319" s="14"/>
      <c r="B319" s="14"/>
      <c r="C319" s="10">
        <f>SUM(C306:C318)</f>
        <v>0</v>
      </c>
      <c r="D319" s="11"/>
      <c r="E319" s="12"/>
      <c r="F319" s="10">
        <f>SUM(F306:F318)</f>
        <v>237168.14225</v>
      </c>
      <c r="H319" s="12"/>
      <c r="I319" s="12"/>
      <c r="J319" s="13"/>
      <c r="K319" s="12"/>
      <c r="L319" s="12"/>
      <c r="M319" s="13"/>
    </row>
    <row r="320" spans="1:13">
      <c r="A320" s="5"/>
      <c r="B320" s="5"/>
      <c r="C320" s="15"/>
      <c r="D320" s="16"/>
      <c r="E320" s="5"/>
      <c r="F320" s="15"/>
      <c r="H320" s="12"/>
      <c r="I320" s="12"/>
      <c r="J320" s="13"/>
      <c r="K320" s="12"/>
      <c r="L320" s="12"/>
      <c r="M320" s="13"/>
    </row>
    <row r="321" spans="3:13">
      <c r="D321" s="17"/>
      <c r="H321" s="19"/>
      <c r="I321" s="19"/>
      <c r="J321" s="34"/>
      <c r="K321" s="19"/>
      <c r="L321" s="19"/>
      <c r="M321" s="34"/>
    </row>
    <row r="322" spans="3:13">
      <c r="C322" s="24"/>
      <c r="D322" s="17"/>
      <c r="F322" s="20">
        <f>+F319-C319</f>
        <v>237168.14225</v>
      </c>
      <c r="H322" s="19"/>
      <c r="I322" s="19"/>
      <c r="J322" s="24"/>
      <c r="K322" s="19"/>
      <c r="L322" s="19"/>
      <c r="M322" s="34"/>
    </row>
    <row r="323" spans="3:13">
      <c r="D323" s="17"/>
      <c r="H323" s="19"/>
      <c r="I323" s="19"/>
      <c r="J323" s="34"/>
      <c r="K323" s="19"/>
      <c r="L323" s="19"/>
      <c r="M323" s="34"/>
    </row>
  </sheetData>
  <mergeCells count="12">
    <mergeCell ref="A259:F259"/>
    <mergeCell ref="H259:M259"/>
    <mergeCell ref="A281:F281"/>
    <mergeCell ref="H281:M281"/>
    <mergeCell ref="A304:F304"/>
    <mergeCell ref="H304:M304"/>
    <mergeCell ref="A3:F3"/>
    <mergeCell ref="H3:M3"/>
    <mergeCell ref="A203:F203"/>
    <mergeCell ref="H203:M203"/>
    <mergeCell ref="A239:F239"/>
    <mergeCell ref="H239:M239"/>
  </mergeCells>
  <pageMargins left="0.69930555555555596" right="0.69930555555555596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workbookViewId="0">
      <selection activeCell="F56" sqref="F56"/>
    </sheetView>
  </sheetViews>
  <sheetFormatPr defaultColWidth="9" defaultRowHeight="15"/>
  <cols>
    <col min="1" max="1" width="11.42578125" customWidth="1"/>
    <col min="2" max="2" width="10.85546875" customWidth="1"/>
    <col min="3" max="3" width="16.5703125" style="4" customWidth="1"/>
    <col min="4" max="4" width="11" customWidth="1"/>
    <col min="5" max="5" width="13.7109375" customWidth="1"/>
    <col min="6" max="6" width="17.42578125" style="4" customWidth="1"/>
    <col min="12" max="12" width="11" customWidth="1"/>
  </cols>
  <sheetData>
    <row r="1" spans="1:12">
      <c r="A1" t="s">
        <v>5</v>
      </c>
    </row>
    <row r="2" spans="1:12">
      <c r="H2" s="19"/>
      <c r="I2" s="19"/>
      <c r="J2" s="19"/>
      <c r="K2" s="19"/>
      <c r="L2" s="19"/>
    </row>
    <row r="3" spans="1:12">
      <c r="A3" s="236" t="str">
        <f>[2]trb!$A$21</f>
        <v>Accounts Payable</v>
      </c>
      <c r="B3" s="236"/>
      <c r="C3" s="236"/>
      <c r="D3" s="236"/>
      <c r="E3" s="236"/>
      <c r="F3" s="236"/>
      <c r="H3" s="25"/>
      <c r="I3" s="28"/>
      <c r="J3" s="28"/>
      <c r="K3" s="28"/>
      <c r="L3" s="28"/>
    </row>
    <row r="4" spans="1:12">
      <c r="A4" s="9"/>
      <c r="B4" s="9"/>
      <c r="C4" s="7"/>
      <c r="D4" s="8"/>
      <c r="E4" s="9"/>
      <c r="F4" s="7"/>
      <c r="H4" s="25"/>
      <c r="I4" s="28"/>
      <c r="J4" s="28"/>
      <c r="K4" s="28"/>
      <c r="L4" s="28"/>
    </row>
    <row r="5" spans="1:12">
      <c r="A5" s="21"/>
      <c r="B5" s="12"/>
      <c r="C5" s="13"/>
      <c r="D5" s="26" t="s">
        <v>90</v>
      </c>
      <c r="E5" s="12"/>
      <c r="F5" s="13">
        <v>89700</v>
      </c>
      <c r="H5" s="25"/>
      <c r="I5" s="28"/>
      <c r="J5" s="28"/>
      <c r="K5" s="28"/>
      <c r="L5" s="28"/>
    </row>
    <row r="6" spans="1:12">
      <c r="A6" s="21"/>
      <c r="B6" s="12"/>
      <c r="C6" s="13"/>
      <c r="D6" s="21"/>
      <c r="E6" s="12"/>
      <c r="F6" s="13"/>
      <c r="H6" s="25"/>
      <c r="I6" s="28"/>
      <c r="J6" s="28"/>
      <c r="K6" s="28"/>
      <c r="L6" s="28"/>
    </row>
    <row r="7" spans="1:12">
      <c r="A7" s="21"/>
      <c r="B7" s="12"/>
      <c r="C7" s="13"/>
      <c r="D7" s="21"/>
      <c r="E7" s="12"/>
      <c r="F7" s="13"/>
      <c r="H7" s="25"/>
      <c r="I7" s="28"/>
      <c r="J7" s="28"/>
      <c r="K7" s="28"/>
      <c r="L7" s="28"/>
    </row>
    <row r="8" spans="1:12">
      <c r="A8" s="21"/>
      <c r="B8" s="14"/>
      <c r="C8" s="10"/>
      <c r="D8" s="21"/>
      <c r="E8" s="12"/>
      <c r="F8" s="13"/>
      <c r="H8" s="25"/>
      <c r="I8" s="28"/>
      <c r="J8" s="28"/>
      <c r="K8" s="28"/>
      <c r="L8" s="28"/>
    </row>
    <row r="9" spans="1:12">
      <c r="A9" s="14"/>
      <c r="B9" s="14"/>
      <c r="C9" s="10"/>
      <c r="D9" s="21"/>
      <c r="E9" s="12"/>
      <c r="F9" s="13"/>
      <c r="H9" s="25"/>
      <c r="I9" s="28"/>
      <c r="J9" s="28"/>
      <c r="K9" s="28"/>
      <c r="L9" s="28"/>
    </row>
    <row r="10" spans="1:12">
      <c r="A10" s="14"/>
      <c r="B10" s="14"/>
      <c r="C10" s="10"/>
      <c r="D10" s="21"/>
      <c r="E10" s="12"/>
      <c r="F10" s="13"/>
      <c r="H10" s="25"/>
      <c r="I10" s="28"/>
      <c r="J10" s="28"/>
      <c r="K10" s="28"/>
      <c r="L10" s="28"/>
    </row>
    <row r="11" spans="1:12">
      <c r="A11" s="14"/>
      <c r="B11" s="14"/>
      <c r="C11" s="10"/>
      <c r="D11" s="21"/>
      <c r="E11" s="12"/>
      <c r="F11" s="13"/>
      <c r="H11" s="25"/>
      <c r="I11" s="28"/>
      <c r="J11" s="28"/>
      <c r="K11" s="28"/>
      <c r="L11" s="28"/>
    </row>
    <row r="12" spans="1:12">
      <c r="A12" s="14"/>
      <c r="B12" s="14"/>
      <c r="C12" s="10"/>
      <c r="D12" s="11"/>
      <c r="E12" s="12"/>
      <c r="F12" s="13"/>
      <c r="H12" s="25"/>
      <c r="I12" s="28"/>
      <c r="J12" s="28"/>
      <c r="K12" s="28"/>
      <c r="L12" s="28"/>
    </row>
    <row r="13" spans="1:12">
      <c r="A13" s="5"/>
      <c r="B13" s="5"/>
      <c r="C13" s="15"/>
      <c r="D13" s="16"/>
      <c r="E13" s="5"/>
      <c r="F13" s="15"/>
      <c r="H13" s="25"/>
      <c r="I13" s="28"/>
      <c r="J13" s="28"/>
      <c r="K13" s="28"/>
      <c r="L13" s="28"/>
    </row>
    <row r="14" spans="1:12">
      <c r="A14" s="14"/>
      <c r="B14" s="14"/>
      <c r="C14" s="10">
        <f>SUM(C5:C13)</f>
        <v>0</v>
      </c>
      <c r="D14" s="11"/>
      <c r="E14" s="12"/>
      <c r="F14" s="10">
        <f>SUM(F5:F13)</f>
        <v>89700</v>
      </c>
      <c r="H14" s="25"/>
      <c r="I14" s="28"/>
      <c r="J14" s="28"/>
      <c r="K14" s="28"/>
      <c r="L14" s="28"/>
    </row>
    <row r="15" spans="1:12">
      <c r="A15" s="5"/>
      <c r="B15" s="5"/>
      <c r="C15" s="15"/>
      <c r="D15" s="16"/>
      <c r="E15" s="5"/>
      <c r="F15" s="15"/>
      <c r="H15" s="25"/>
      <c r="I15" s="28"/>
      <c r="J15" s="28"/>
      <c r="K15" s="28"/>
      <c r="L15" s="28"/>
    </row>
    <row r="16" spans="1:12">
      <c r="D16" s="17"/>
      <c r="H16" s="25"/>
      <c r="I16" s="28"/>
      <c r="J16" s="28"/>
      <c r="K16" s="28"/>
      <c r="L16" s="28"/>
    </row>
    <row r="17" spans="1:12">
      <c r="C17" s="24"/>
      <c r="D17" s="17"/>
      <c r="F17" s="20">
        <f>+F14-C14</f>
        <v>89700</v>
      </c>
      <c r="H17" s="25"/>
      <c r="I17" s="28"/>
      <c r="J17" s="28"/>
      <c r="K17" s="28"/>
      <c r="L17" s="28"/>
    </row>
    <row r="18" spans="1:12">
      <c r="D18" s="17"/>
      <c r="H18" s="25"/>
      <c r="I18" s="28"/>
      <c r="J18" s="28"/>
      <c r="K18" s="28"/>
      <c r="L18" s="28"/>
    </row>
    <row r="19" spans="1:12">
      <c r="H19" s="25"/>
      <c r="I19" s="28"/>
      <c r="J19" s="28"/>
      <c r="K19" s="28"/>
      <c r="L19" s="28"/>
    </row>
    <row r="21" spans="1:12">
      <c r="A21" s="236" t="str">
        <f>[2]trb!$A$22</f>
        <v>Loans Payable - Short Term</v>
      </c>
      <c r="B21" s="236"/>
      <c r="C21" s="236"/>
      <c r="D21" s="236"/>
      <c r="E21" s="236"/>
      <c r="F21" s="236"/>
      <c r="H21" s="25"/>
      <c r="I21" s="28"/>
      <c r="J21" s="28"/>
      <c r="K21" s="28"/>
      <c r="L21" s="28"/>
    </row>
    <row r="22" spans="1:12">
      <c r="A22" s="9"/>
      <c r="B22" s="9"/>
      <c r="C22" s="7"/>
      <c r="D22" s="8"/>
      <c r="E22" s="9"/>
      <c r="F22" s="7"/>
      <c r="H22" s="25"/>
      <c r="I22" s="28"/>
      <c r="J22" s="28"/>
      <c r="K22" s="28"/>
      <c r="L22" s="28"/>
    </row>
    <row r="23" spans="1:12">
      <c r="A23" s="21">
        <v>42505</v>
      </c>
      <c r="B23" s="12"/>
      <c r="C23" s="10">
        <v>111887.93</v>
      </c>
      <c r="D23" s="26" t="s">
        <v>90</v>
      </c>
      <c r="E23" s="12"/>
      <c r="F23" s="13">
        <v>942594.78</v>
      </c>
      <c r="H23" s="25"/>
      <c r="I23" s="28"/>
      <c r="J23" s="28"/>
      <c r="K23" s="28"/>
      <c r="L23" s="28"/>
    </row>
    <row r="24" spans="1:12">
      <c r="A24" s="29">
        <v>42589</v>
      </c>
      <c r="B24" s="12"/>
      <c r="C24" s="10">
        <v>50000.01</v>
      </c>
      <c r="D24" s="21"/>
      <c r="E24" s="12"/>
      <c r="F24" s="10"/>
      <c r="H24" s="25"/>
      <c r="I24" s="28"/>
      <c r="J24" s="28"/>
      <c r="K24" s="28"/>
      <c r="L24" s="28"/>
    </row>
    <row r="25" spans="1:12">
      <c r="A25" s="29">
        <v>42735</v>
      </c>
      <c r="B25" s="12"/>
      <c r="C25" s="10">
        <v>58880.52</v>
      </c>
      <c r="D25" s="21"/>
      <c r="E25" s="12"/>
      <c r="F25" s="13"/>
      <c r="H25" s="25"/>
      <c r="I25" s="28"/>
      <c r="J25" s="28"/>
      <c r="K25" s="28"/>
      <c r="L25" s="28"/>
    </row>
    <row r="26" spans="1:12">
      <c r="A26" s="22"/>
      <c r="B26" s="14"/>
      <c r="C26" s="10"/>
      <c r="D26" s="21"/>
      <c r="E26" s="12"/>
      <c r="F26" s="13"/>
      <c r="H26" s="25"/>
      <c r="I26" s="28"/>
      <c r="J26" s="28"/>
      <c r="K26" s="28"/>
      <c r="L26" s="28"/>
    </row>
    <row r="27" spans="1:12">
      <c r="A27" s="22"/>
      <c r="B27" s="14"/>
      <c r="C27" s="10"/>
      <c r="D27" s="11"/>
      <c r="E27" s="12"/>
      <c r="F27" s="13"/>
      <c r="H27" s="25"/>
      <c r="I27" s="28"/>
      <c r="J27" s="28"/>
      <c r="K27" s="28"/>
      <c r="L27" s="28"/>
    </row>
    <row r="28" spans="1:12">
      <c r="A28" s="22"/>
      <c r="B28" s="14"/>
      <c r="C28" s="10"/>
      <c r="D28" s="11"/>
      <c r="E28" s="12"/>
      <c r="F28" s="13"/>
      <c r="H28" s="25"/>
      <c r="I28" s="28"/>
      <c r="J28" s="28"/>
      <c r="K28" s="28"/>
      <c r="L28" s="28"/>
    </row>
    <row r="29" spans="1:12">
      <c r="A29" s="22"/>
      <c r="B29" s="14"/>
      <c r="C29" s="10"/>
      <c r="D29" s="11"/>
      <c r="E29" s="12"/>
      <c r="F29" s="13"/>
      <c r="H29" s="25"/>
      <c r="I29" s="28"/>
      <c r="J29" s="28"/>
      <c r="K29" s="28"/>
      <c r="L29" s="28"/>
    </row>
    <row r="30" spans="1:12">
      <c r="A30" s="22"/>
      <c r="B30" s="14"/>
      <c r="C30" s="10"/>
      <c r="D30" s="11"/>
      <c r="E30" s="12"/>
      <c r="F30" s="13"/>
      <c r="H30" s="25"/>
      <c r="I30" s="28"/>
      <c r="J30" s="28"/>
      <c r="K30" s="28"/>
      <c r="L30" s="28"/>
    </row>
    <row r="31" spans="1:12">
      <c r="A31" s="22"/>
      <c r="B31" s="14"/>
      <c r="C31" s="10"/>
      <c r="D31" s="11"/>
      <c r="E31" s="12"/>
      <c r="F31" s="13"/>
      <c r="H31" s="25"/>
      <c r="I31" s="28"/>
      <c r="J31" s="28"/>
      <c r="K31" s="28"/>
      <c r="L31" s="28"/>
    </row>
    <row r="32" spans="1:12">
      <c r="A32" s="22"/>
      <c r="B32" s="14"/>
      <c r="C32" s="10"/>
      <c r="D32" s="11"/>
      <c r="E32" s="12"/>
      <c r="F32" s="13"/>
      <c r="H32" s="25"/>
      <c r="I32" s="28"/>
      <c r="J32" s="28"/>
      <c r="K32" s="28"/>
      <c r="L32" s="28"/>
    </row>
    <row r="33" spans="1:12">
      <c r="A33" s="22"/>
      <c r="B33" s="14"/>
      <c r="C33" s="10"/>
      <c r="D33" s="11"/>
      <c r="E33" s="12"/>
      <c r="F33" s="13"/>
      <c r="H33" s="25"/>
      <c r="I33" s="28"/>
      <c r="J33" s="28"/>
      <c r="K33" s="28"/>
      <c r="L33" s="28"/>
    </row>
    <row r="34" spans="1:12">
      <c r="A34" s="5"/>
      <c r="B34" s="5"/>
      <c r="C34" s="15"/>
      <c r="D34" s="16"/>
      <c r="E34" s="5"/>
      <c r="F34" s="15"/>
      <c r="H34" s="25"/>
      <c r="I34" s="28"/>
      <c r="J34" s="28"/>
      <c r="K34" s="28"/>
      <c r="L34" s="28"/>
    </row>
    <row r="35" spans="1:12">
      <c r="A35" s="14"/>
      <c r="B35" s="14"/>
      <c r="C35" s="10">
        <f>SUM(C23:C34)</f>
        <v>220768.46</v>
      </c>
      <c r="D35" s="11"/>
      <c r="E35" s="12"/>
      <c r="F35" s="10">
        <f>SUM(F23:F34)</f>
        <v>942594.78</v>
      </c>
      <c r="H35" s="25"/>
      <c r="I35" s="28"/>
      <c r="J35" s="28"/>
      <c r="K35" s="28"/>
      <c r="L35" s="28"/>
    </row>
    <row r="36" spans="1:12">
      <c r="A36" s="5"/>
      <c r="B36" s="5"/>
      <c r="C36" s="15"/>
      <c r="D36" s="16"/>
      <c r="E36" s="5"/>
      <c r="F36" s="15"/>
      <c r="H36" s="25"/>
      <c r="I36" s="28"/>
      <c r="J36" s="28"/>
      <c r="K36" s="28"/>
      <c r="L36" s="28"/>
    </row>
    <row r="37" spans="1:12">
      <c r="D37" s="17"/>
      <c r="H37" s="25"/>
      <c r="I37" s="28"/>
      <c r="J37" s="28"/>
      <c r="K37" s="28"/>
      <c r="L37" s="28"/>
    </row>
    <row r="38" spans="1:12">
      <c r="C38" s="24"/>
      <c r="D38" s="17"/>
      <c r="F38" s="20">
        <f>+F35-C35</f>
        <v>721826.32</v>
      </c>
      <c r="H38" s="25"/>
      <c r="I38" s="28"/>
      <c r="J38" s="28"/>
      <c r="K38" s="28"/>
      <c r="L38" s="28"/>
    </row>
    <row r="39" spans="1:12">
      <c r="D39" s="17"/>
      <c r="H39" s="25"/>
      <c r="I39" s="28"/>
      <c r="J39" s="28"/>
      <c r="K39" s="28"/>
      <c r="L39" s="28"/>
    </row>
    <row r="43" spans="1:12">
      <c r="A43" s="236" t="s">
        <v>22</v>
      </c>
      <c r="B43" s="236"/>
      <c r="C43" s="236"/>
      <c r="D43" s="236"/>
      <c r="E43" s="236"/>
      <c r="F43" s="236"/>
    </row>
    <row r="44" spans="1:12">
      <c r="A44" s="9"/>
      <c r="B44" s="9"/>
      <c r="C44" s="7"/>
      <c r="D44" s="8"/>
      <c r="E44" s="9"/>
      <c r="F44" s="7"/>
    </row>
    <row r="45" spans="1:12">
      <c r="A45" s="21"/>
      <c r="B45" s="12"/>
      <c r="C45" s="13"/>
      <c r="D45" s="26" t="s">
        <v>90</v>
      </c>
      <c r="E45" s="12"/>
      <c r="F45" s="13">
        <v>8232.58</v>
      </c>
    </row>
    <row r="46" spans="1:12">
      <c r="A46" s="29"/>
      <c r="B46" s="12"/>
      <c r="C46" s="13"/>
      <c r="D46" s="21"/>
      <c r="E46" s="12"/>
      <c r="F46" s="10"/>
    </row>
    <row r="47" spans="1:12">
      <c r="A47" s="29"/>
      <c r="B47" s="12"/>
      <c r="C47" s="10"/>
      <c r="D47" s="21"/>
      <c r="E47" s="12"/>
      <c r="F47" s="10"/>
    </row>
    <row r="48" spans="1:12">
      <c r="A48" s="29"/>
      <c r="B48" s="12"/>
      <c r="C48" s="10"/>
      <c r="D48" s="21"/>
      <c r="E48" s="12"/>
      <c r="F48" s="10"/>
    </row>
    <row r="49" spans="1:6">
      <c r="A49" s="12"/>
      <c r="B49" s="12"/>
      <c r="C49" s="10"/>
      <c r="D49" s="11"/>
      <c r="E49" s="12"/>
      <c r="F49" s="13"/>
    </row>
    <row r="50" spans="1:6">
      <c r="A50" s="14"/>
      <c r="B50" s="14"/>
      <c r="C50" s="10"/>
      <c r="D50" s="11"/>
      <c r="E50" s="12"/>
      <c r="F50" s="13"/>
    </row>
    <row r="51" spans="1:6">
      <c r="A51" s="14"/>
      <c r="B51" s="14"/>
      <c r="C51" s="10"/>
      <c r="D51" s="11"/>
      <c r="E51" s="12"/>
      <c r="F51" s="13"/>
    </row>
    <row r="52" spans="1:6">
      <c r="A52" s="5"/>
      <c r="B52" s="5"/>
      <c r="C52" s="15"/>
      <c r="D52" s="16"/>
      <c r="E52" s="5"/>
      <c r="F52" s="15"/>
    </row>
    <row r="53" spans="1:6">
      <c r="A53" s="14"/>
      <c r="B53" s="14"/>
      <c r="C53" s="10">
        <f>SUM(C45:C52)</f>
        <v>0</v>
      </c>
      <c r="D53" s="11"/>
      <c r="E53" s="12"/>
      <c r="F53" s="10">
        <f>SUM(F45:F52)</f>
        <v>8232.58</v>
      </c>
    </row>
    <row r="54" spans="1:6">
      <c r="A54" s="5"/>
      <c r="B54" s="5"/>
      <c r="C54" s="15"/>
      <c r="D54" s="16"/>
      <c r="E54" s="5"/>
      <c r="F54" s="15"/>
    </row>
    <row r="55" spans="1:6">
      <c r="D55" s="17"/>
    </row>
    <row r="56" spans="1:6">
      <c r="C56" s="24"/>
      <c r="D56" s="17"/>
      <c r="F56" s="20">
        <f>+F53-C53</f>
        <v>8232.58</v>
      </c>
    </row>
    <row r="57" spans="1:6">
      <c r="D57" s="17"/>
    </row>
  </sheetData>
  <mergeCells count="3">
    <mergeCell ref="A3:F3"/>
    <mergeCell ref="A21:F21"/>
    <mergeCell ref="A43:F43"/>
  </mergeCells>
  <pageMargins left="0.69930555555555596" right="0.69930555555555596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3"/>
  <sheetViews>
    <sheetView topLeftCell="A265" workbookViewId="0">
      <selection activeCell="C272" sqref="C272"/>
    </sheetView>
  </sheetViews>
  <sheetFormatPr defaultColWidth="9" defaultRowHeight="15"/>
  <cols>
    <col min="1" max="1" width="14.140625" customWidth="1"/>
    <col min="2" max="2" width="10.5703125" customWidth="1"/>
    <col min="3" max="3" width="17.28515625" style="4" customWidth="1"/>
    <col min="4" max="4" width="13" customWidth="1"/>
    <col min="5" max="5" width="10.5703125" customWidth="1"/>
    <col min="6" max="6" width="17.85546875" style="4" customWidth="1"/>
    <col min="8" max="8" width="11" customWidth="1"/>
    <col min="10" max="10" width="12.85546875" customWidth="1"/>
    <col min="11" max="11" width="11.7109375" customWidth="1"/>
    <col min="12" max="13" width="11" customWidth="1"/>
  </cols>
  <sheetData>
    <row r="1" spans="1:13">
      <c r="A1" t="s">
        <v>5</v>
      </c>
    </row>
    <row r="3" spans="1:13">
      <c r="A3" s="236" t="str">
        <f>[2]trb!$A$27</f>
        <v>Sales</v>
      </c>
      <c r="B3" s="236"/>
      <c r="C3" s="236"/>
      <c r="D3" s="236"/>
      <c r="E3" s="236"/>
      <c r="F3" s="236"/>
      <c r="H3" s="25"/>
      <c r="I3" s="28"/>
      <c r="J3" s="28"/>
      <c r="K3" s="28"/>
      <c r="L3" s="28"/>
      <c r="M3" s="19"/>
    </row>
    <row r="4" spans="1:13">
      <c r="A4" s="6"/>
      <c r="B4" s="6"/>
      <c r="C4" s="7"/>
      <c r="D4" s="8"/>
      <c r="E4" s="9"/>
      <c r="F4" s="7"/>
      <c r="H4" s="25"/>
      <c r="I4" s="28"/>
      <c r="J4" s="28"/>
      <c r="K4" s="28"/>
      <c r="L4" s="28"/>
      <c r="M4" s="19"/>
    </row>
    <row r="5" spans="1:13">
      <c r="A5" s="6"/>
      <c r="B5" s="6"/>
      <c r="C5" s="10"/>
      <c r="D5" s="11" t="s">
        <v>90</v>
      </c>
      <c r="E5" s="12"/>
      <c r="F5" s="13">
        <v>0</v>
      </c>
      <c r="H5" s="25"/>
      <c r="I5" s="28"/>
      <c r="J5" s="28"/>
      <c r="K5" s="28"/>
      <c r="L5" s="28"/>
      <c r="M5" s="19"/>
    </row>
    <row r="6" spans="1:13">
      <c r="A6" s="12"/>
      <c r="B6" s="12"/>
      <c r="C6" s="10"/>
      <c r="D6" s="21">
        <v>42559</v>
      </c>
      <c r="E6" s="12">
        <v>52</v>
      </c>
      <c r="F6" s="13">
        <v>1143792.8999999999</v>
      </c>
      <c r="H6" s="25"/>
      <c r="I6" s="28"/>
      <c r="J6" s="28"/>
      <c r="K6" s="28"/>
      <c r="L6" s="28"/>
      <c r="M6" s="19"/>
    </row>
    <row r="7" spans="1:13">
      <c r="A7" s="12"/>
      <c r="B7" s="12"/>
      <c r="C7" s="10"/>
      <c r="D7" s="21" t="s">
        <v>91</v>
      </c>
      <c r="E7" s="14">
        <v>53</v>
      </c>
      <c r="F7" s="10">
        <v>864724.5</v>
      </c>
      <c r="H7" s="25"/>
      <c r="I7" s="28"/>
      <c r="J7" s="28"/>
      <c r="K7" s="28"/>
      <c r="L7" s="28"/>
      <c r="M7" s="19"/>
    </row>
    <row r="8" spans="1:13">
      <c r="A8" s="12"/>
      <c r="B8" s="12"/>
      <c r="C8" s="10"/>
      <c r="D8" s="21" t="s">
        <v>91</v>
      </c>
      <c r="E8" s="12">
        <v>54</v>
      </c>
      <c r="F8" s="13">
        <v>1712278.6</v>
      </c>
      <c r="H8" s="25"/>
      <c r="I8" s="28"/>
      <c r="J8" s="28"/>
      <c r="K8" s="28"/>
      <c r="L8" s="28"/>
      <c r="M8" s="19"/>
    </row>
    <row r="9" spans="1:13">
      <c r="A9" s="14"/>
      <c r="B9" s="14"/>
      <c r="C9" s="10"/>
      <c r="D9" s="21">
        <v>42715</v>
      </c>
      <c r="E9" s="12">
        <v>100</v>
      </c>
      <c r="F9" s="13">
        <v>917340.65</v>
      </c>
      <c r="H9" s="25"/>
      <c r="I9" s="28"/>
      <c r="J9" s="28"/>
      <c r="K9" s="28"/>
      <c r="L9" s="28"/>
      <c r="M9" s="19"/>
    </row>
    <row r="10" spans="1:13">
      <c r="A10" s="14"/>
      <c r="B10" s="14"/>
      <c r="C10" s="10"/>
      <c r="D10" s="21" t="s">
        <v>91</v>
      </c>
      <c r="E10" s="12">
        <v>101</v>
      </c>
      <c r="F10" s="13">
        <v>729393.95</v>
      </c>
      <c r="H10" s="25"/>
      <c r="I10" s="28"/>
      <c r="J10" s="28"/>
      <c r="K10" s="28"/>
      <c r="L10" s="28"/>
      <c r="M10" s="19"/>
    </row>
    <row r="11" spans="1:13">
      <c r="A11" s="14"/>
      <c r="B11" s="14"/>
      <c r="C11" s="10"/>
      <c r="D11" s="21">
        <v>42735</v>
      </c>
      <c r="E11" s="14">
        <v>104</v>
      </c>
      <c r="F11" s="10">
        <v>117524.1</v>
      </c>
      <c r="H11" s="25"/>
      <c r="I11" s="28"/>
      <c r="J11" s="28"/>
      <c r="K11" s="28"/>
      <c r="L11" s="28"/>
      <c r="M11" s="19"/>
    </row>
    <row r="12" spans="1:13">
      <c r="A12" s="14"/>
      <c r="B12" s="14"/>
      <c r="C12" s="10"/>
      <c r="D12" s="21" t="s">
        <v>91</v>
      </c>
      <c r="E12" s="12">
        <v>105</v>
      </c>
      <c r="F12" s="13">
        <v>91687.65</v>
      </c>
      <c r="H12" s="25"/>
      <c r="I12" s="28"/>
      <c r="J12" s="28"/>
      <c r="K12" s="28"/>
      <c r="L12" s="28"/>
      <c r="M12" s="19"/>
    </row>
    <row r="13" spans="1:13">
      <c r="A13" s="14"/>
      <c r="B13" s="14"/>
      <c r="C13" s="10"/>
      <c r="D13" s="21" t="s">
        <v>91</v>
      </c>
      <c r="E13" s="12">
        <v>108</v>
      </c>
      <c r="F13" s="13">
        <v>1599809.7</v>
      </c>
      <c r="H13" s="25"/>
      <c r="I13" s="28"/>
      <c r="J13" s="28"/>
      <c r="K13" s="28"/>
      <c r="L13" s="28"/>
      <c r="M13" s="19"/>
    </row>
    <row r="14" spans="1:13">
      <c r="A14" s="14"/>
      <c r="B14" s="14"/>
      <c r="C14" s="10"/>
      <c r="D14" s="21"/>
      <c r="E14" s="12"/>
      <c r="F14" s="13"/>
      <c r="H14" s="25"/>
      <c r="I14" s="28"/>
      <c r="J14" s="28"/>
      <c r="K14" s="28"/>
      <c r="L14" s="28"/>
      <c r="M14" s="19"/>
    </row>
    <row r="15" spans="1:13">
      <c r="A15" s="14"/>
      <c r="B15" s="14"/>
      <c r="C15" s="10"/>
      <c r="D15" s="21"/>
      <c r="E15" s="12"/>
      <c r="F15" s="13"/>
      <c r="H15" s="25"/>
      <c r="I15" s="28"/>
      <c r="J15" s="28"/>
      <c r="K15" s="28"/>
      <c r="L15" s="28"/>
      <c r="M15" s="19"/>
    </row>
    <row r="16" spans="1:13">
      <c r="A16" s="14"/>
      <c r="B16" s="14"/>
      <c r="C16" s="10"/>
      <c r="D16" s="21"/>
      <c r="E16" s="12"/>
      <c r="F16" s="13"/>
      <c r="H16" s="25"/>
      <c r="I16" s="28"/>
      <c r="J16" s="28"/>
      <c r="K16" s="28"/>
      <c r="L16" s="28"/>
      <c r="M16" s="19"/>
    </row>
    <row r="17" spans="1:13">
      <c r="A17" s="14"/>
      <c r="B17" s="14"/>
      <c r="C17" s="10"/>
      <c r="D17" s="21"/>
      <c r="E17" s="12"/>
      <c r="F17" s="13"/>
      <c r="H17" s="25"/>
      <c r="I17" s="28"/>
      <c r="J17" s="28"/>
      <c r="K17" s="28"/>
      <c r="L17" s="28"/>
      <c r="M17" s="19"/>
    </row>
    <row r="18" spans="1:13">
      <c r="A18" s="14"/>
      <c r="B18" s="14"/>
      <c r="C18" s="10"/>
      <c r="D18" s="21"/>
      <c r="E18" s="12"/>
      <c r="F18" s="13"/>
      <c r="H18" s="25"/>
      <c r="I18" s="28"/>
      <c r="J18" s="28"/>
      <c r="K18" s="28"/>
      <c r="L18" s="28"/>
      <c r="M18" s="19"/>
    </row>
    <row r="19" spans="1:13">
      <c r="A19" s="14"/>
      <c r="B19" s="14"/>
      <c r="C19" s="10"/>
      <c r="D19" s="21"/>
      <c r="E19" s="12"/>
      <c r="F19" s="13"/>
      <c r="H19" s="25"/>
      <c r="I19" s="28"/>
      <c r="J19" s="28"/>
      <c r="K19" s="28"/>
      <c r="L19" s="28"/>
      <c r="M19" s="19"/>
    </row>
    <row r="20" spans="1:13">
      <c r="A20" s="14"/>
      <c r="B20" s="14"/>
      <c r="C20" s="10"/>
      <c r="D20" s="21"/>
      <c r="E20" s="12"/>
      <c r="F20" s="13"/>
      <c r="H20" s="25"/>
      <c r="I20" s="28"/>
      <c r="J20" s="28"/>
      <c r="K20" s="28"/>
      <c r="L20" s="28"/>
      <c r="M20" s="19"/>
    </row>
    <row r="21" spans="1:13">
      <c r="A21" s="14"/>
      <c r="B21" s="14"/>
      <c r="C21" s="10"/>
      <c r="D21" s="21"/>
      <c r="E21" s="12"/>
      <c r="F21" s="13"/>
      <c r="H21" s="25"/>
      <c r="I21" s="28"/>
      <c r="J21" s="28"/>
      <c r="K21" s="28"/>
      <c r="L21" s="28"/>
      <c r="M21" s="19"/>
    </row>
    <row r="22" spans="1:13">
      <c r="A22" s="14"/>
      <c r="B22" s="14"/>
      <c r="C22" s="10"/>
      <c r="D22" s="21"/>
      <c r="E22" s="12"/>
      <c r="F22" s="13"/>
      <c r="H22" s="25"/>
      <c r="I22" s="28"/>
      <c r="J22" s="28"/>
      <c r="K22" s="28"/>
      <c r="L22" s="28"/>
      <c r="M22" s="19"/>
    </row>
    <row r="23" spans="1:13">
      <c r="A23" s="14"/>
      <c r="B23" s="14"/>
      <c r="C23" s="10"/>
      <c r="D23" s="21"/>
      <c r="E23" s="12"/>
      <c r="F23" s="13"/>
      <c r="H23" s="25"/>
      <c r="I23" s="28"/>
      <c r="J23" s="28"/>
      <c r="K23" s="28"/>
      <c r="L23" s="28"/>
      <c r="M23" s="19"/>
    </row>
    <row r="24" spans="1:13">
      <c r="A24" s="14"/>
      <c r="B24" s="14"/>
      <c r="C24" s="10"/>
      <c r="D24" s="21"/>
      <c r="E24" s="12"/>
      <c r="F24" s="13"/>
      <c r="H24" s="25"/>
      <c r="I24" s="28"/>
      <c r="J24" s="28"/>
      <c r="K24" s="28"/>
      <c r="L24" s="28"/>
      <c r="M24" s="19"/>
    </row>
    <row r="25" spans="1:13">
      <c r="A25" s="14"/>
      <c r="B25" s="14"/>
      <c r="C25" s="10"/>
      <c r="D25" s="21"/>
      <c r="E25" s="12"/>
      <c r="F25" s="13"/>
      <c r="H25" s="25"/>
      <c r="I25" s="28"/>
      <c r="J25" s="28"/>
      <c r="K25" s="28"/>
      <c r="L25" s="28"/>
      <c r="M25" s="19"/>
    </row>
    <row r="26" spans="1:13">
      <c r="A26" s="14"/>
      <c r="B26" s="14"/>
      <c r="C26" s="10"/>
      <c r="D26" s="21"/>
      <c r="E26" s="12"/>
      <c r="F26" s="13"/>
      <c r="H26" s="25"/>
      <c r="I26" s="28"/>
      <c r="J26" s="28"/>
      <c r="K26" s="28"/>
      <c r="L26" s="28"/>
      <c r="M26" s="19"/>
    </row>
    <row r="27" spans="1:13">
      <c r="A27" s="5"/>
      <c r="B27" s="5"/>
      <c r="C27" s="15"/>
      <c r="D27" s="16"/>
      <c r="E27" s="5"/>
      <c r="F27" s="15"/>
      <c r="H27" s="25"/>
      <c r="I27" s="28"/>
      <c r="J27" s="28"/>
      <c r="K27" s="28"/>
      <c r="L27" s="28"/>
      <c r="M27" s="19"/>
    </row>
    <row r="28" spans="1:13">
      <c r="A28" s="14"/>
      <c r="B28" s="14"/>
      <c r="C28" s="10">
        <f>SUM(C5:C27)</f>
        <v>0</v>
      </c>
      <c r="D28" s="11"/>
      <c r="E28" s="12"/>
      <c r="F28" s="10">
        <f>SUM(F5:F27)</f>
        <v>7176552.0499999998</v>
      </c>
      <c r="H28" s="25"/>
      <c r="I28" s="28"/>
      <c r="J28" s="28"/>
      <c r="K28" s="28"/>
      <c r="L28" s="28"/>
      <c r="M28" s="19"/>
    </row>
    <row r="29" spans="1:13">
      <c r="A29" s="5"/>
      <c r="B29" s="5"/>
      <c r="C29" s="15"/>
      <c r="D29" s="16"/>
      <c r="E29" s="5"/>
      <c r="F29" s="15"/>
      <c r="H29" s="25"/>
      <c r="I29" s="28"/>
      <c r="J29" s="28"/>
      <c r="K29" s="28"/>
      <c r="L29" s="28"/>
      <c r="M29" s="19"/>
    </row>
    <row r="30" spans="1:13">
      <c r="D30" s="17"/>
      <c r="H30" s="25"/>
      <c r="I30" s="28"/>
      <c r="J30" s="28"/>
      <c r="K30" s="28"/>
      <c r="L30" s="28"/>
      <c r="M30" s="19"/>
    </row>
    <row r="31" spans="1:13">
      <c r="C31" s="18"/>
      <c r="D31" s="19"/>
      <c r="F31" s="20">
        <f>+F28-C28</f>
        <v>7176552.0499999998</v>
      </c>
      <c r="H31" s="25"/>
      <c r="I31" s="28"/>
      <c r="J31" s="28"/>
      <c r="K31" s="28"/>
      <c r="L31" s="28"/>
      <c r="M31" s="19"/>
    </row>
    <row r="32" spans="1:13">
      <c r="D32" s="17"/>
      <c r="H32" s="25"/>
      <c r="I32" s="28"/>
      <c r="J32" s="28"/>
      <c r="K32" s="28"/>
      <c r="L32" s="28"/>
      <c r="M32" s="19"/>
    </row>
    <row r="33" spans="1:13">
      <c r="H33" s="25"/>
      <c r="I33" s="28"/>
      <c r="J33" s="28"/>
      <c r="K33" s="28"/>
      <c r="L33" s="28"/>
      <c r="M33" s="19"/>
    </row>
    <row r="34" spans="1:13">
      <c r="H34" s="25"/>
      <c r="I34" s="28"/>
      <c r="J34" s="28"/>
      <c r="K34" s="28"/>
      <c r="L34" s="28"/>
      <c r="M34" s="19"/>
    </row>
    <row r="35" spans="1:13">
      <c r="H35" s="25"/>
      <c r="I35" s="28"/>
      <c r="J35" s="28"/>
      <c r="K35" s="28"/>
      <c r="L35" s="28"/>
      <c r="M35" s="19"/>
    </row>
    <row r="36" spans="1:13">
      <c r="A36" s="236" t="str">
        <f>[2]trb!$A$28</f>
        <v>Sales Returns &amp; Allowances</v>
      </c>
      <c r="B36" s="236"/>
      <c r="C36" s="236"/>
      <c r="D36" s="236"/>
      <c r="E36" s="236"/>
      <c r="F36" s="236"/>
    </row>
    <row r="37" spans="1:13">
      <c r="A37" s="6"/>
      <c r="B37" s="6"/>
      <c r="C37" s="7"/>
      <c r="D37" s="8"/>
      <c r="E37" s="9"/>
      <c r="F37" s="7"/>
    </row>
    <row r="38" spans="1:13">
      <c r="A38" s="26" t="s">
        <v>90</v>
      </c>
      <c r="B38" s="6"/>
      <c r="C38" s="10">
        <v>0</v>
      </c>
      <c r="D38" s="11"/>
      <c r="E38" s="12"/>
      <c r="F38" s="13"/>
    </row>
    <row r="39" spans="1:13">
      <c r="A39" s="27"/>
      <c r="B39" s="12"/>
      <c r="C39" s="10"/>
      <c r="D39" s="11"/>
      <c r="E39" s="12"/>
      <c r="F39" s="13"/>
    </row>
    <row r="40" spans="1:13">
      <c r="A40" s="27"/>
      <c r="B40" s="12"/>
      <c r="C40" s="10"/>
      <c r="D40" s="11"/>
      <c r="E40" s="12"/>
      <c r="F40" s="13"/>
    </row>
    <row r="41" spans="1:13">
      <c r="A41" s="27"/>
      <c r="B41" s="12"/>
      <c r="C41" s="10"/>
      <c r="D41" s="11"/>
      <c r="E41" s="12"/>
      <c r="F41" s="13"/>
    </row>
    <row r="42" spans="1:13">
      <c r="A42" s="27"/>
      <c r="B42" s="12"/>
      <c r="C42" s="10"/>
      <c r="D42" s="11"/>
      <c r="E42" s="12"/>
      <c r="F42" s="13"/>
    </row>
    <row r="43" spans="1:13">
      <c r="A43" s="14"/>
      <c r="B43" s="14"/>
      <c r="C43" s="10"/>
      <c r="D43" s="11"/>
      <c r="E43" s="12"/>
      <c r="F43" s="13"/>
    </row>
    <row r="44" spans="1:13">
      <c r="A44" s="14"/>
      <c r="B44" s="14"/>
      <c r="C44" s="10"/>
      <c r="D44" s="11"/>
      <c r="E44" s="12"/>
      <c r="F44" s="13"/>
    </row>
    <row r="45" spans="1:13">
      <c r="A45" s="5"/>
      <c r="B45" s="5"/>
      <c r="C45" s="15"/>
      <c r="D45" s="16"/>
      <c r="E45" s="5"/>
      <c r="F45" s="15"/>
    </row>
    <row r="46" spans="1:13">
      <c r="A46" s="14"/>
      <c r="B46" s="14"/>
      <c r="C46" s="10">
        <f>SUM(C38:C45)</f>
        <v>0</v>
      </c>
      <c r="D46" s="11"/>
      <c r="E46" s="12"/>
      <c r="F46" s="10">
        <f>SUM(F38:F45)</f>
        <v>0</v>
      </c>
    </row>
    <row r="47" spans="1:13">
      <c r="A47" s="5"/>
      <c r="B47" s="5"/>
      <c r="C47" s="15"/>
      <c r="D47" s="16"/>
      <c r="E47" s="5"/>
      <c r="F47" s="15"/>
    </row>
    <row r="48" spans="1:13">
      <c r="D48" s="17"/>
    </row>
    <row r="49" spans="1:6">
      <c r="C49" s="23">
        <f>+C46-F46</f>
        <v>0</v>
      </c>
      <c r="D49" s="17"/>
    </row>
    <row r="50" spans="1:6">
      <c r="D50" s="17"/>
    </row>
    <row r="53" spans="1:6">
      <c r="A53" s="236" t="str">
        <f>[2]trb!$A$29</f>
        <v>Sales Discount</v>
      </c>
      <c r="B53" s="236"/>
      <c r="C53" s="236"/>
      <c r="D53" s="236"/>
      <c r="E53" s="236"/>
      <c r="F53" s="236"/>
    </row>
    <row r="54" spans="1:6">
      <c r="A54" s="6"/>
      <c r="B54" s="6"/>
      <c r="C54" s="7"/>
      <c r="D54" s="8"/>
      <c r="E54" s="9"/>
      <c r="F54" s="7"/>
    </row>
    <row r="55" spans="1:6">
      <c r="A55" s="26" t="s">
        <v>90</v>
      </c>
      <c r="B55" s="6"/>
      <c r="C55" s="10">
        <v>0</v>
      </c>
      <c r="D55" s="11"/>
      <c r="E55" s="12"/>
      <c r="F55" s="13"/>
    </row>
    <row r="56" spans="1:6">
      <c r="A56" s="14"/>
      <c r="B56" s="14"/>
      <c r="C56" s="10"/>
      <c r="D56" s="11"/>
      <c r="E56" s="12"/>
      <c r="F56" s="13"/>
    </row>
    <row r="57" spans="1:6">
      <c r="A57" s="14"/>
      <c r="B57" s="14"/>
      <c r="C57" s="10"/>
      <c r="D57" s="11"/>
      <c r="E57" s="12"/>
      <c r="F57" s="13"/>
    </row>
    <row r="58" spans="1:6">
      <c r="A58" s="5"/>
      <c r="B58" s="5"/>
      <c r="C58" s="15"/>
      <c r="D58" s="16"/>
      <c r="E58" s="5"/>
      <c r="F58" s="15"/>
    </row>
    <row r="59" spans="1:6">
      <c r="A59" s="14"/>
      <c r="B59" s="14"/>
      <c r="C59" s="10">
        <f>SUM(C55:C58)</f>
        <v>0</v>
      </c>
      <c r="D59" s="11"/>
      <c r="E59" s="12"/>
      <c r="F59" s="10">
        <f>SUM(F55:F58)</f>
        <v>0</v>
      </c>
    </row>
    <row r="60" spans="1:6">
      <c r="A60" s="5"/>
      <c r="B60" s="5"/>
      <c r="C60" s="15"/>
      <c r="D60" s="16"/>
      <c r="E60" s="5"/>
      <c r="F60" s="15"/>
    </row>
    <row r="61" spans="1:6">
      <c r="D61" s="17"/>
    </row>
    <row r="62" spans="1:6">
      <c r="C62" s="23">
        <f>+C59-F59</f>
        <v>0</v>
      </c>
      <c r="D62" s="17"/>
    </row>
    <row r="63" spans="1:6">
      <c r="D63" s="17"/>
    </row>
    <row r="66" spans="1:6">
      <c r="A66" s="236" t="str">
        <f>trb!A31</f>
        <v>COS</v>
      </c>
      <c r="B66" s="236"/>
      <c r="C66" s="236"/>
      <c r="D66" s="236"/>
      <c r="E66" s="236"/>
      <c r="F66" s="236"/>
    </row>
    <row r="67" spans="1:6">
      <c r="A67" s="6"/>
      <c r="B67" s="6"/>
      <c r="C67" s="7"/>
      <c r="D67" s="8"/>
      <c r="E67" s="9"/>
      <c r="F67" s="7"/>
    </row>
    <row r="68" spans="1:6">
      <c r="A68" s="26" t="s">
        <v>90</v>
      </c>
      <c r="B68" s="6"/>
      <c r="C68" s="10">
        <v>0</v>
      </c>
      <c r="D68" s="11"/>
      <c r="E68" s="12"/>
      <c r="F68" s="13"/>
    </row>
    <row r="69" spans="1:6">
      <c r="A69" s="29">
        <v>42559</v>
      </c>
      <c r="B69" s="12">
        <v>52</v>
      </c>
      <c r="C69" s="10">
        <v>625311.38</v>
      </c>
      <c r="D69" s="11"/>
      <c r="E69" s="12"/>
      <c r="F69" s="13"/>
    </row>
    <row r="70" spans="1:6">
      <c r="A70" s="22" t="s">
        <v>91</v>
      </c>
      <c r="B70" s="14">
        <v>53</v>
      </c>
      <c r="C70" s="10">
        <v>505736.8</v>
      </c>
      <c r="D70" s="11"/>
      <c r="E70" s="12"/>
      <c r="F70" s="13"/>
    </row>
    <row r="71" spans="1:6">
      <c r="A71" s="29" t="s">
        <v>91</v>
      </c>
      <c r="B71" s="12">
        <v>54</v>
      </c>
      <c r="C71" s="10">
        <v>898588.85</v>
      </c>
      <c r="D71" s="11"/>
      <c r="E71" s="12"/>
      <c r="F71" s="13"/>
    </row>
    <row r="72" spans="1:6">
      <c r="A72" s="22">
        <v>42715</v>
      </c>
      <c r="B72" s="14">
        <v>100</v>
      </c>
      <c r="C72" s="10">
        <v>481174.99</v>
      </c>
      <c r="D72" s="11"/>
      <c r="E72" s="12"/>
      <c r="F72" s="13"/>
    </row>
    <row r="73" spans="1:6">
      <c r="A73" s="22" t="s">
        <v>91</v>
      </c>
      <c r="B73" s="14">
        <v>101</v>
      </c>
      <c r="C73" s="10">
        <v>411752.94</v>
      </c>
      <c r="D73" s="11"/>
      <c r="E73" s="12"/>
      <c r="F73" s="13"/>
    </row>
    <row r="74" spans="1:6">
      <c r="A74" s="22">
        <v>42735</v>
      </c>
      <c r="B74" s="14">
        <v>104</v>
      </c>
      <c r="C74" s="10">
        <v>63702.43</v>
      </c>
      <c r="D74" s="11"/>
      <c r="E74" s="12"/>
      <c r="F74" s="13"/>
    </row>
    <row r="75" spans="1:6">
      <c r="A75" s="22" t="s">
        <v>91</v>
      </c>
      <c r="B75" s="14">
        <v>105</v>
      </c>
      <c r="C75" s="10">
        <v>53011.199999999997</v>
      </c>
      <c r="D75" s="11"/>
      <c r="E75" s="12"/>
      <c r="F75" s="13"/>
    </row>
    <row r="76" spans="1:6">
      <c r="A76" s="22" t="s">
        <v>91</v>
      </c>
      <c r="B76" s="14">
        <v>108</v>
      </c>
      <c r="C76" s="10">
        <v>836048.82</v>
      </c>
      <c r="D76" s="11"/>
      <c r="E76" s="12"/>
      <c r="F76" s="13"/>
    </row>
    <row r="77" spans="1:6">
      <c r="A77" s="22"/>
      <c r="B77" s="14"/>
      <c r="C77" s="10"/>
      <c r="D77" s="11"/>
      <c r="E77" s="12"/>
      <c r="F77" s="13"/>
    </row>
    <row r="78" spans="1:6">
      <c r="A78" s="22"/>
      <c r="B78" s="14"/>
      <c r="C78" s="10"/>
      <c r="D78" s="11"/>
      <c r="E78" s="12"/>
      <c r="F78" s="13"/>
    </row>
    <row r="79" spans="1:6">
      <c r="A79" s="22"/>
      <c r="B79" s="14"/>
      <c r="C79" s="10"/>
      <c r="D79" s="11"/>
      <c r="E79" s="12"/>
      <c r="F79" s="13"/>
    </row>
    <row r="80" spans="1:6">
      <c r="A80" s="22"/>
      <c r="B80" s="14"/>
      <c r="C80" s="10"/>
      <c r="D80" s="11"/>
      <c r="E80" s="12"/>
      <c r="F80" s="13"/>
    </row>
    <row r="81" spans="1:6">
      <c r="A81" s="22"/>
      <c r="B81" s="14"/>
      <c r="C81" s="10"/>
      <c r="D81" s="11"/>
      <c r="E81" s="12"/>
      <c r="F81" s="13"/>
    </row>
    <row r="82" spans="1:6">
      <c r="A82" s="22"/>
      <c r="B82" s="14"/>
      <c r="C82" s="10"/>
      <c r="D82" s="11"/>
      <c r="E82" s="12"/>
      <c r="F82" s="13"/>
    </row>
    <row r="83" spans="1:6">
      <c r="A83" s="22"/>
      <c r="B83" s="14"/>
      <c r="C83" s="10"/>
      <c r="D83" s="11"/>
      <c r="E83" s="12"/>
      <c r="F83" s="13"/>
    </row>
    <row r="84" spans="1:6">
      <c r="A84" s="22"/>
      <c r="B84" s="14"/>
      <c r="C84" s="10"/>
      <c r="D84" s="11"/>
      <c r="E84" s="12"/>
      <c r="F84" s="13"/>
    </row>
    <row r="85" spans="1:6">
      <c r="A85" s="22"/>
      <c r="B85" s="14"/>
      <c r="C85" s="10"/>
      <c r="D85" s="11"/>
      <c r="E85" s="12"/>
      <c r="F85" s="13"/>
    </row>
    <row r="86" spans="1:6">
      <c r="A86" s="22"/>
      <c r="B86" s="14"/>
      <c r="C86" s="10"/>
      <c r="D86" s="11"/>
      <c r="E86" s="12"/>
      <c r="F86" s="13"/>
    </row>
    <row r="87" spans="1:6">
      <c r="A87" s="22"/>
      <c r="B87" s="14"/>
      <c r="C87" s="10"/>
      <c r="D87" s="11"/>
      <c r="E87" s="12"/>
      <c r="F87" s="13"/>
    </row>
    <row r="88" spans="1:6">
      <c r="A88" s="22"/>
      <c r="B88" s="14"/>
      <c r="C88" s="10"/>
      <c r="D88" s="11"/>
      <c r="E88" s="12"/>
      <c r="F88" s="13"/>
    </row>
    <row r="89" spans="1:6">
      <c r="A89" s="5"/>
      <c r="B89" s="5"/>
      <c r="C89" s="15"/>
      <c r="D89" s="16"/>
      <c r="E89" s="5"/>
      <c r="F89" s="15"/>
    </row>
    <row r="90" spans="1:6">
      <c r="A90" s="14"/>
      <c r="B90" s="14"/>
      <c r="C90" s="10">
        <f>SUM(C68:C89)</f>
        <v>3875327.41</v>
      </c>
      <c r="D90" s="11"/>
      <c r="E90" s="12"/>
      <c r="F90" s="10">
        <f>SUM(F68:F89)</f>
        <v>0</v>
      </c>
    </row>
    <row r="91" spans="1:6">
      <c r="A91" s="5"/>
      <c r="B91" s="5"/>
      <c r="C91" s="15"/>
      <c r="D91" s="16"/>
      <c r="E91" s="5"/>
      <c r="F91" s="15"/>
    </row>
    <row r="92" spans="1:6">
      <c r="D92" s="17"/>
    </row>
    <row r="93" spans="1:6">
      <c r="C93" s="23">
        <f>+C90-F90</f>
        <v>3875327.41</v>
      </c>
      <c r="D93" s="17"/>
    </row>
    <row r="94" spans="1:6">
      <c r="D94" s="17"/>
    </row>
    <row r="97" spans="1:13">
      <c r="A97" s="236" t="str">
        <f>trb!A32</f>
        <v>Salaries and Wages</v>
      </c>
      <c r="B97" s="236"/>
      <c r="C97" s="236"/>
      <c r="D97" s="236"/>
      <c r="E97" s="236"/>
      <c r="F97" s="236"/>
      <c r="H97" s="236" t="str">
        <f>[2]trb!$A$32</f>
        <v>Sales Commission</v>
      </c>
      <c r="I97" s="236"/>
      <c r="J97" s="236"/>
      <c r="K97" s="236"/>
      <c r="L97" s="236"/>
      <c r="M97" s="236"/>
    </row>
    <row r="98" spans="1:13">
      <c r="A98" s="6"/>
      <c r="B98" s="6"/>
      <c r="C98" s="7"/>
      <c r="D98" s="8"/>
      <c r="E98" s="9"/>
      <c r="F98" s="7"/>
      <c r="H98" s="9"/>
      <c r="I98" s="6"/>
      <c r="J98" s="7"/>
      <c r="K98" s="8"/>
      <c r="L98" s="9"/>
      <c r="M98" s="7"/>
    </row>
    <row r="99" spans="1:13">
      <c r="A99" s="26" t="s">
        <v>90</v>
      </c>
      <c r="B99" s="6"/>
      <c r="C99" s="10">
        <v>0</v>
      </c>
      <c r="D99" s="11"/>
      <c r="E99" s="12"/>
      <c r="F99" s="13"/>
      <c r="H99" s="27" t="s">
        <v>90</v>
      </c>
      <c r="I99" s="6"/>
      <c r="J99" s="10">
        <v>0</v>
      </c>
      <c r="K99" s="11"/>
      <c r="L99" s="12"/>
      <c r="M99" s="13"/>
    </row>
    <row r="100" spans="1:13">
      <c r="A100" s="29">
        <v>42735</v>
      </c>
      <c r="B100" s="12">
        <v>106</v>
      </c>
      <c r="C100" s="13">
        <v>90000</v>
      </c>
      <c r="D100" s="11"/>
      <c r="E100" s="12"/>
      <c r="F100" s="13"/>
      <c r="H100" s="29">
        <v>42735</v>
      </c>
      <c r="I100" s="12">
        <v>106</v>
      </c>
      <c r="J100" s="13">
        <v>88971.04</v>
      </c>
      <c r="K100" s="11"/>
      <c r="L100" s="12"/>
      <c r="M100" s="13"/>
    </row>
    <row r="101" spans="1:13">
      <c r="A101" s="21" t="s">
        <v>91</v>
      </c>
      <c r="B101" s="12">
        <v>107</v>
      </c>
      <c r="C101" s="13">
        <v>86000</v>
      </c>
      <c r="D101" s="11"/>
      <c r="E101" s="12"/>
      <c r="F101" s="13"/>
      <c r="H101" s="29" t="s">
        <v>91</v>
      </c>
      <c r="I101" s="12">
        <v>107</v>
      </c>
      <c r="J101" s="13">
        <v>67950.19</v>
      </c>
      <c r="K101" s="11"/>
      <c r="L101" s="12"/>
      <c r="M101" s="13"/>
    </row>
    <row r="102" spans="1:13">
      <c r="A102" s="22"/>
      <c r="B102" s="14"/>
      <c r="C102" s="10"/>
      <c r="D102" s="11"/>
      <c r="E102" s="12"/>
      <c r="F102" s="13"/>
      <c r="H102" s="29"/>
      <c r="I102" s="12"/>
      <c r="J102" s="13"/>
      <c r="K102" s="11"/>
      <c r="L102" s="12"/>
      <c r="M102" s="13"/>
    </row>
    <row r="103" spans="1:13">
      <c r="A103" s="22"/>
      <c r="B103" s="14"/>
      <c r="C103" s="10"/>
      <c r="D103" s="11"/>
      <c r="E103" s="12"/>
      <c r="F103" s="13"/>
      <c r="H103" s="29"/>
      <c r="I103" s="12"/>
      <c r="J103" s="13"/>
      <c r="K103" s="11"/>
      <c r="L103" s="12"/>
      <c r="M103" s="13"/>
    </row>
    <row r="104" spans="1:13">
      <c r="A104" s="22"/>
      <c r="B104" s="14"/>
      <c r="C104" s="10"/>
      <c r="D104" s="11"/>
      <c r="E104" s="12"/>
      <c r="F104" s="13"/>
      <c r="H104" s="29"/>
      <c r="I104" s="12"/>
      <c r="J104" s="13"/>
      <c r="K104" s="11"/>
      <c r="L104" s="12"/>
      <c r="M104" s="13"/>
    </row>
    <row r="105" spans="1:13">
      <c r="A105" s="22"/>
      <c r="B105" s="14"/>
      <c r="C105" s="10"/>
      <c r="D105" s="11"/>
      <c r="E105" s="12"/>
      <c r="F105" s="13"/>
      <c r="H105" s="22"/>
      <c r="I105" s="14"/>
      <c r="J105" s="10"/>
      <c r="K105" s="11"/>
      <c r="L105" s="12"/>
      <c r="M105" s="13"/>
    </row>
    <row r="106" spans="1:13">
      <c r="A106" s="22"/>
      <c r="B106" s="14"/>
      <c r="C106" s="10"/>
      <c r="D106" s="11"/>
      <c r="E106" s="12"/>
      <c r="F106" s="13"/>
      <c r="H106" s="22"/>
      <c r="I106" s="14"/>
      <c r="J106" s="10"/>
      <c r="K106" s="11"/>
      <c r="L106" s="12"/>
      <c r="M106" s="13"/>
    </row>
    <row r="107" spans="1:13">
      <c r="A107" s="22"/>
      <c r="B107" s="14"/>
      <c r="C107" s="10"/>
      <c r="D107" s="11"/>
      <c r="E107" s="12"/>
      <c r="F107" s="13"/>
      <c r="H107" s="22"/>
      <c r="I107" s="14"/>
      <c r="J107" s="10"/>
      <c r="K107" s="11"/>
      <c r="L107" s="12"/>
      <c r="M107" s="13"/>
    </row>
    <row r="108" spans="1:13">
      <c r="A108" s="22"/>
      <c r="B108" s="14"/>
      <c r="C108" s="10"/>
      <c r="D108" s="11"/>
      <c r="E108" s="12"/>
      <c r="F108" s="13"/>
      <c r="H108" s="22"/>
      <c r="I108" s="14"/>
      <c r="J108" s="10"/>
      <c r="K108" s="11"/>
      <c r="L108" s="12"/>
      <c r="M108" s="13"/>
    </row>
    <row r="109" spans="1:13">
      <c r="A109" s="22"/>
      <c r="B109" s="14"/>
      <c r="C109" s="10"/>
      <c r="D109" s="11"/>
      <c r="E109" s="12"/>
      <c r="F109" s="13"/>
      <c r="H109" s="22"/>
      <c r="I109" s="14"/>
      <c r="J109" s="10"/>
      <c r="K109" s="11"/>
      <c r="L109" s="12"/>
      <c r="M109" s="13"/>
    </row>
    <row r="110" spans="1:13">
      <c r="A110" s="22"/>
      <c r="B110" s="14"/>
      <c r="C110" s="10"/>
      <c r="D110" s="11"/>
      <c r="E110" s="12"/>
      <c r="F110" s="13"/>
      <c r="H110" s="14"/>
      <c r="I110" s="14"/>
      <c r="J110" s="10"/>
      <c r="K110" s="11"/>
      <c r="L110" s="12"/>
      <c r="M110" s="13"/>
    </row>
    <row r="111" spans="1:13">
      <c r="A111" s="22"/>
      <c r="B111" s="14"/>
      <c r="C111" s="10"/>
      <c r="D111" s="11"/>
      <c r="E111" s="12"/>
      <c r="F111" s="13"/>
      <c r="H111" s="14"/>
      <c r="I111" s="14"/>
      <c r="J111" s="10"/>
      <c r="K111" s="11"/>
      <c r="L111" s="12"/>
      <c r="M111" s="13"/>
    </row>
    <row r="112" spans="1:13">
      <c r="A112" s="22"/>
      <c r="B112" s="14"/>
      <c r="C112" s="10"/>
      <c r="D112" s="11"/>
      <c r="E112" s="12"/>
      <c r="F112" s="13"/>
      <c r="H112" s="14"/>
      <c r="I112" s="14"/>
      <c r="J112" s="10"/>
      <c r="K112" s="11"/>
      <c r="L112" s="12"/>
      <c r="M112" s="13"/>
    </row>
    <row r="113" spans="1:13">
      <c r="A113" s="22"/>
      <c r="B113" s="14"/>
      <c r="C113" s="10"/>
      <c r="D113" s="11"/>
      <c r="E113" s="12"/>
      <c r="F113" s="13"/>
      <c r="H113" s="14"/>
      <c r="I113" s="14"/>
      <c r="J113" s="10"/>
      <c r="K113" s="11"/>
      <c r="L113" s="12"/>
      <c r="M113" s="13"/>
    </row>
    <row r="114" spans="1:13">
      <c r="A114" s="22"/>
      <c r="B114" s="14"/>
      <c r="C114" s="10"/>
      <c r="D114" s="11"/>
      <c r="E114" s="12"/>
      <c r="F114" s="13"/>
      <c r="H114" s="14"/>
      <c r="I114" s="14"/>
      <c r="J114" s="10"/>
      <c r="K114" s="11"/>
      <c r="L114" s="12"/>
      <c r="M114" s="13"/>
    </row>
    <row r="115" spans="1:13">
      <c r="A115" s="22"/>
      <c r="B115" s="14"/>
      <c r="C115" s="10"/>
      <c r="D115" s="11"/>
      <c r="E115" s="12"/>
      <c r="F115" s="13"/>
      <c r="H115" s="14"/>
      <c r="I115" s="14"/>
      <c r="J115" s="10"/>
      <c r="K115" s="11"/>
      <c r="L115" s="12"/>
      <c r="M115" s="13"/>
    </row>
    <row r="116" spans="1:13">
      <c r="A116" s="22"/>
      <c r="B116" s="14"/>
      <c r="C116" s="10"/>
      <c r="D116" s="11"/>
      <c r="E116" s="12"/>
      <c r="F116" s="13"/>
      <c r="H116" s="14"/>
      <c r="I116" s="14"/>
      <c r="J116" s="10"/>
      <c r="K116" s="11"/>
      <c r="L116" s="12"/>
      <c r="M116" s="13"/>
    </row>
    <row r="117" spans="1:13">
      <c r="A117" s="5"/>
      <c r="B117" s="5"/>
      <c r="C117" s="15"/>
      <c r="D117" s="16"/>
      <c r="E117" s="5"/>
      <c r="F117" s="15"/>
      <c r="H117" s="5"/>
      <c r="I117" s="5"/>
      <c r="J117" s="15"/>
      <c r="K117" s="16"/>
      <c r="L117" s="5"/>
      <c r="M117" s="15"/>
    </row>
    <row r="118" spans="1:13">
      <c r="A118" s="14"/>
      <c r="B118" s="14"/>
      <c r="C118" s="10">
        <f>SUM(C99:C117)</f>
        <v>176000</v>
      </c>
      <c r="D118" s="11"/>
      <c r="E118" s="12"/>
      <c r="F118" s="10">
        <f>SUM(F99:F117)</f>
        <v>0</v>
      </c>
      <c r="H118" s="14"/>
      <c r="I118" s="14"/>
      <c r="J118" s="10">
        <f>SUM(J99:J117)</f>
        <v>156921.23000000001</v>
      </c>
      <c r="K118" s="11"/>
      <c r="L118" s="12"/>
      <c r="M118" s="10">
        <f>SUM(M99:M117)</f>
        <v>0</v>
      </c>
    </row>
    <row r="119" spans="1:13">
      <c r="A119" s="5"/>
      <c r="B119" s="5"/>
      <c r="C119" s="15"/>
      <c r="D119" s="16"/>
      <c r="E119" s="5"/>
      <c r="F119" s="15"/>
      <c r="H119" s="5"/>
      <c r="I119" s="5"/>
      <c r="J119" s="15"/>
      <c r="K119" s="16"/>
      <c r="L119" s="5"/>
      <c r="M119" s="15"/>
    </row>
    <row r="120" spans="1:13">
      <c r="D120" s="17"/>
      <c r="J120" s="4"/>
      <c r="K120" s="17"/>
      <c r="M120" s="4"/>
    </row>
    <row r="121" spans="1:13">
      <c r="C121" s="23">
        <f>+C118-F118</f>
        <v>176000</v>
      </c>
      <c r="D121" s="17"/>
      <c r="J121" s="20">
        <f>+J118-M118</f>
        <v>156921.23000000001</v>
      </c>
      <c r="K121" s="17"/>
    </row>
    <row r="122" spans="1:13">
      <c r="D122" s="17"/>
      <c r="J122" s="4"/>
      <c r="K122" s="17"/>
      <c r="M122" s="4"/>
    </row>
    <row r="125" spans="1:13">
      <c r="A125" s="236" t="str">
        <f>trb!A34</f>
        <v>Board, Lodging and Meals</v>
      </c>
      <c r="B125" s="236"/>
      <c r="C125" s="236"/>
      <c r="D125" s="236"/>
      <c r="E125" s="236"/>
      <c r="F125" s="236"/>
      <c r="H125" s="236" t="str">
        <f>[2]trb!$A$34</f>
        <v>Depreciation Exp - TE</v>
      </c>
      <c r="I125" s="236"/>
      <c r="J125" s="236"/>
      <c r="K125" s="236"/>
      <c r="L125" s="236"/>
      <c r="M125" s="236"/>
    </row>
    <row r="126" spans="1:13">
      <c r="A126" s="6"/>
      <c r="B126" s="6"/>
      <c r="C126" s="7"/>
      <c r="D126" s="8"/>
      <c r="E126" s="9"/>
      <c r="F126" s="7"/>
      <c r="H126" s="9"/>
      <c r="I126" s="6"/>
      <c r="J126" s="7"/>
      <c r="K126" s="8"/>
      <c r="L126" s="9"/>
      <c r="M126" s="7"/>
    </row>
    <row r="127" spans="1:13">
      <c r="A127" s="26" t="s">
        <v>90</v>
      </c>
      <c r="B127" s="6"/>
      <c r="C127" s="10">
        <v>0</v>
      </c>
      <c r="D127" s="11"/>
      <c r="E127" s="12"/>
      <c r="F127" s="13"/>
      <c r="H127" s="27" t="s">
        <v>90</v>
      </c>
      <c r="I127" s="6"/>
      <c r="J127" s="10">
        <v>0</v>
      </c>
      <c r="K127" s="11"/>
      <c r="L127" s="12"/>
      <c r="M127" s="13"/>
    </row>
    <row r="128" spans="1:13">
      <c r="A128" s="21">
        <v>42735</v>
      </c>
      <c r="B128" s="12">
        <v>106</v>
      </c>
      <c r="C128" s="13">
        <v>87610</v>
      </c>
      <c r="D128" s="11"/>
      <c r="E128" s="12"/>
      <c r="F128" s="13"/>
      <c r="H128" s="29">
        <v>42505</v>
      </c>
      <c r="I128" s="12">
        <v>28</v>
      </c>
      <c r="J128" s="10">
        <v>33333.25</v>
      </c>
      <c r="K128" s="11"/>
      <c r="L128" s="12"/>
      <c r="M128" s="13"/>
    </row>
    <row r="129" spans="1:13">
      <c r="A129" s="21" t="s">
        <v>91</v>
      </c>
      <c r="B129" s="12">
        <v>107</v>
      </c>
      <c r="C129" s="13">
        <v>84480</v>
      </c>
      <c r="D129" s="11"/>
      <c r="E129" s="12"/>
      <c r="F129" s="13"/>
      <c r="H129" s="29">
        <v>42589</v>
      </c>
      <c r="I129" s="12">
        <v>59</v>
      </c>
      <c r="J129" s="10">
        <v>19999.95</v>
      </c>
      <c r="K129" s="11"/>
      <c r="L129" s="12"/>
      <c r="M129" s="13"/>
    </row>
    <row r="130" spans="1:13">
      <c r="A130" s="29" t="s">
        <v>91</v>
      </c>
      <c r="B130" s="12">
        <v>109</v>
      </c>
      <c r="C130" s="10">
        <v>30000</v>
      </c>
      <c r="D130" s="11"/>
      <c r="E130" s="12"/>
      <c r="F130" s="13"/>
      <c r="H130" s="29">
        <v>42735</v>
      </c>
      <c r="I130" s="12">
        <v>102</v>
      </c>
      <c r="J130" s="10">
        <v>26666.6</v>
      </c>
      <c r="K130" s="11"/>
      <c r="L130" s="12"/>
      <c r="M130" s="13"/>
    </row>
    <row r="131" spans="1:13">
      <c r="A131" s="22"/>
      <c r="B131" s="14"/>
      <c r="C131" s="10"/>
      <c r="D131" s="11"/>
      <c r="E131" s="12"/>
      <c r="F131" s="13"/>
      <c r="H131" s="22"/>
      <c r="I131" s="12"/>
      <c r="J131" s="10"/>
      <c r="K131" s="11"/>
      <c r="L131" s="12"/>
      <c r="M131" s="13"/>
    </row>
    <row r="132" spans="1:13">
      <c r="A132" s="22"/>
      <c r="B132" s="14"/>
      <c r="C132" s="10"/>
      <c r="D132" s="11"/>
      <c r="E132" s="12"/>
      <c r="F132" s="13"/>
      <c r="H132" s="22"/>
      <c r="I132" s="14"/>
      <c r="J132" s="10"/>
      <c r="K132" s="11"/>
      <c r="L132" s="12"/>
      <c r="M132" s="13"/>
    </row>
    <row r="133" spans="1:13">
      <c r="A133" s="22"/>
      <c r="B133" s="14"/>
      <c r="C133" s="10"/>
      <c r="D133" s="11"/>
      <c r="E133" s="12"/>
      <c r="F133" s="13"/>
      <c r="H133" s="22"/>
      <c r="I133" s="14"/>
      <c r="J133" s="10"/>
      <c r="K133" s="11"/>
      <c r="L133" s="12"/>
      <c r="M133" s="13"/>
    </row>
    <row r="134" spans="1:13">
      <c r="A134" s="22"/>
      <c r="B134" s="14"/>
      <c r="C134" s="10"/>
      <c r="D134" s="11"/>
      <c r="E134" s="12"/>
      <c r="F134" s="13"/>
      <c r="H134" s="22"/>
      <c r="I134" s="14"/>
      <c r="J134" s="10"/>
      <c r="K134" s="11"/>
      <c r="L134" s="12"/>
      <c r="M134" s="13"/>
    </row>
    <row r="135" spans="1:13">
      <c r="A135" s="22"/>
      <c r="B135" s="14"/>
      <c r="C135" s="10"/>
      <c r="D135" s="11"/>
      <c r="E135" s="12"/>
      <c r="F135" s="13"/>
      <c r="H135" s="22"/>
      <c r="I135" s="14"/>
      <c r="J135" s="10"/>
      <c r="K135" s="11"/>
      <c r="L135" s="12"/>
      <c r="M135" s="13"/>
    </row>
    <row r="136" spans="1:13">
      <c r="A136" s="22"/>
      <c r="B136" s="14"/>
      <c r="C136" s="10"/>
      <c r="D136" s="11"/>
      <c r="E136" s="12"/>
      <c r="F136" s="13"/>
      <c r="H136" s="22"/>
      <c r="I136" s="14"/>
      <c r="J136" s="10"/>
      <c r="K136" s="11"/>
      <c r="L136" s="12"/>
      <c r="M136" s="13"/>
    </row>
    <row r="137" spans="1:13">
      <c r="A137" s="22"/>
      <c r="B137" s="14"/>
      <c r="C137" s="10"/>
      <c r="D137" s="11"/>
      <c r="E137" s="12"/>
      <c r="F137" s="13"/>
      <c r="H137" s="14"/>
      <c r="I137" s="14"/>
      <c r="J137" s="10"/>
      <c r="K137" s="11"/>
      <c r="L137" s="12"/>
      <c r="M137" s="13"/>
    </row>
    <row r="138" spans="1:13">
      <c r="A138" s="22"/>
      <c r="B138" s="14"/>
      <c r="C138" s="10"/>
      <c r="D138" s="11"/>
      <c r="E138" s="12"/>
      <c r="F138" s="13"/>
      <c r="H138" s="14"/>
      <c r="I138" s="14"/>
      <c r="J138" s="10"/>
      <c r="K138" s="11"/>
      <c r="L138" s="12"/>
      <c r="M138" s="13"/>
    </row>
    <row r="139" spans="1:13">
      <c r="A139" s="22"/>
      <c r="B139" s="14"/>
      <c r="C139" s="10"/>
      <c r="D139" s="11"/>
      <c r="E139" s="12"/>
      <c r="F139" s="13"/>
      <c r="H139" s="14"/>
      <c r="I139" s="14"/>
      <c r="J139" s="10"/>
      <c r="K139" s="11"/>
      <c r="L139" s="12"/>
      <c r="M139" s="13"/>
    </row>
    <row r="140" spans="1:13">
      <c r="A140" s="5"/>
      <c r="B140" s="5"/>
      <c r="C140" s="15"/>
      <c r="D140" s="16"/>
      <c r="E140" s="5"/>
      <c r="F140" s="15"/>
      <c r="H140" s="5"/>
      <c r="I140" s="5"/>
      <c r="J140" s="15"/>
      <c r="K140" s="16"/>
      <c r="L140" s="5"/>
      <c r="M140" s="15"/>
    </row>
    <row r="141" spans="1:13">
      <c r="A141" s="14"/>
      <c r="B141" s="14"/>
      <c r="C141" s="10">
        <f>SUM(C127:C140)</f>
        <v>202090</v>
      </c>
      <c r="D141" s="11"/>
      <c r="E141" s="12"/>
      <c r="F141" s="10">
        <f>SUM(F127:F140)</f>
        <v>0</v>
      </c>
      <c r="H141" s="14"/>
      <c r="I141" s="14"/>
      <c r="J141" s="10">
        <f>SUM(J127:J140)</f>
        <v>79999.8</v>
      </c>
      <c r="K141" s="11"/>
      <c r="L141" s="12"/>
      <c r="M141" s="10">
        <f>SUM(M127:M140)</f>
        <v>0</v>
      </c>
    </row>
    <row r="142" spans="1:13">
      <c r="A142" s="5"/>
      <c r="B142" s="5"/>
      <c r="C142" s="15"/>
      <c r="D142" s="16"/>
      <c r="E142" s="5"/>
      <c r="F142" s="15"/>
      <c r="H142" s="5"/>
      <c r="I142" s="5"/>
      <c r="J142" s="15"/>
      <c r="K142" s="16"/>
      <c r="L142" s="5"/>
      <c r="M142" s="15"/>
    </row>
    <row r="143" spans="1:13">
      <c r="D143" s="17"/>
      <c r="J143" s="4"/>
      <c r="K143" s="17"/>
      <c r="M143" s="4"/>
    </row>
    <row r="144" spans="1:13">
      <c r="C144" s="23">
        <f>+C141-F141</f>
        <v>202090</v>
      </c>
      <c r="D144" s="17"/>
      <c r="J144" s="20">
        <f>+J141-M141</f>
        <v>79999.8</v>
      </c>
      <c r="K144" s="17"/>
    </row>
    <row r="145" spans="1:13">
      <c r="D145" s="17"/>
      <c r="J145" s="4"/>
      <c r="K145" s="17"/>
      <c r="M145" s="4"/>
    </row>
    <row r="148" spans="1:13">
      <c r="A148" s="236" t="str">
        <f>[2]trb!$A$35</f>
        <v>Depreciation Exp - OE</v>
      </c>
      <c r="B148" s="236"/>
      <c r="C148" s="236"/>
      <c r="D148" s="236"/>
      <c r="E148" s="236"/>
      <c r="F148" s="236"/>
      <c r="H148" s="236" t="str">
        <f>[2]trb!$A$36</f>
        <v>Depreciation Exp - Bldg</v>
      </c>
      <c r="I148" s="236"/>
      <c r="J148" s="236"/>
      <c r="K148" s="236"/>
      <c r="L148" s="236"/>
      <c r="M148" s="236"/>
    </row>
    <row r="149" spans="1:13">
      <c r="A149" s="6"/>
      <c r="B149" s="6"/>
      <c r="C149" s="7"/>
      <c r="D149" s="8"/>
      <c r="E149" s="9"/>
      <c r="F149" s="7"/>
      <c r="H149" s="6"/>
      <c r="I149" s="6"/>
      <c r="J149" s="7"/>
      <c r="K149" s="8"/>
      <c r="L149" s="9"/>
      <c r="M149" s="7"/>
    </row>
    <row r="150" spans="1:13">
      <c r="A150" s="26" t="s">
        <v>90</v>
      </c>
      <c r="B150" s="6"/>
      <c r="C150" s="10">
        <v>0</v>
      </c>
      <c r="D150" s="11"/>
      <c r="E150" s="12"/>
      <c r="F150" s="13"/>
      <c r="G150" s="19"/>
      <c r="H150" s="30" t="s">
        <v>90</v>
      </c>
      <c r="I150" s="6"/>
      <c r="J150" s="10">
        <v>0</v>
      </c>
      <c r="K150" s="11"/>
      <c r="L150" s="12"/>
      <c r="M150" s="13"/>
    </row>
    <row r="151" spans="1:13">
      <c r="A151" s="29">
        <v>42505</v>
      </c>
      <c r="B151" s="12">
        <v>28</v>
      </c>
      <c r="C151" s="10">
        <v>9435.5300000000007</v>
      </c>
      <c r="D151" s="11"/>
      <c r="E151" s="12"/>
      <c r="F151" s="13"/>
      <c r="H151" s="29">
        <v>42505</v>
      </c>
      <c r="I151" s="12">
        <v>28</v>
      </c>
      <c r="J151" s="10">
        <v>25230.67</v>
      </c>
      <c r="K151" s="11"/>
      <c r="L151" s="12"/>
      <c r="M151" s="13"/>
    </row>
    <row r="152" spans="1:13">
      <c r="A152" s="29">
        <v>42589</v>
      </c>
      <c r="B152" s="12">
        <v>59</v>
      </c>
      <c r="C152" s="10">
        <v>2215.3200000000002</v>
      </c>
      <c r="D152" s="11"/>
      <c r="E152" s="12"/>
      <c r="F152" s="13"/>
      <c r="H152" s="29">
        <v>42589</v>
      </c>
      <c r="I152" s="12">
        <v>59</v>
      </c>
      <c r="J152" s="10">
        <v>15138.4</v>
      </c>
      <c r="K152" s="11"/>
      <c r="L152" s="12"/>
      <c r="M152" s="13"/>
    </row>
    <row r="153" spans="1:13">
      <c r="A153" s="29">
        <v>42735</v>
      </c>
      <c r="B153" s="12">
        <v>102</v>
      </c>
      <c r="C153" s="10">
        <v>2953.76</v>
      </c>
      <c r="D153" s="11"/>
      <c r="E153" s="12"/>
      <c r="F153" s="13"/>
      <c r="H153" s="29">
        <v>42735</v>
      </c>
      <c r="I153" s="12">
        <v>102</v>
      </c>
      <c r="J153" s="10">
        <v>20184.54</v>
      </c>
      <c r="K153" s="11"/>
      <c r="L153" s="12"/>
      <c r="M153" s="13"/>
    </row>
    <row r="154" spans="1:13">
      <c r="A154" s="22"/>
      <c r="B154" s="12"/>
      <c r="C154" s="10"/>
      <c r="D154" s="11"/>
      <c r="E154" s="12"/>
      <c r="F154" s="13"/>
      <c r="H154" s="22"/>
      <c r="I154" s="12"/>
      <c r="J154" s="10"/>
      <c r="K154" s="11"/>
      <c r="L154" s="12"/>
      <c r="M154" s="13"/>
    </row>
    <row r="155" spans="1:13">
      <c r="A155" s="22"/>
      <c r="B155" s="12"/>
      <c r="C155" s="10"/>
      <c r="D155" s="11"/>
      <c r="E155" s="12"/>
      <c r="F155" s="13"/>
      <c r="H155" s="22"/>
      <c r="I155" s="12"/>
      <c r="J155" s="10"/>
      <c r="K155" s="11"/>
      <c r="L155" s="12"/>
      <c r="M155" s="13"/>
    </row>
    <row r="156" spans="1:13">
      <c r="A156" s="22"/>
      <c r="B156" s="14"/>
      <c r="C156" s="10"/>
      <c r="D156" s="11"/>
      <c r="E156" s="12"/>
      <c r="F156" s="13"/>
      <c r="H156" s="22"/>
      <c r="I156" s="14"/>
      <c r="J156" s="10"/>
      <c r="K156" s="11"/>
      <c r="L156" s="12"/>
      <c r="M156" s="13"/>
    </row>
    <row r="157" spans="1:13">
      <c r="A157" s="22"/>
      <c r="B157" s="14"/>
      <c r="C157" s="10"/>
      <c r="D157" s="11"/>
      <c r="E157" s="12"/>
      <c r="F157" s="13"/>
      <c r="H157" s="22"/>
      <c r="I157" s="14"/>
      <c r="J157" s="10"/>
      <c r="K157" s="11"/>
      <c r="L157" s="12"/>
      <c r="M157" s="13"/>
    </row>
    <row r="158" spans="1:13">
      <c r="A158" s="22"/>
      <c r="B158" s="14"/>
      <c r="C158" s="10"/>
      <c r="D158" s="11"/>
      <c r="E158" s="12"/>
      <c r="F158" s="13"/>
      <c r="H158" s="22"/>
      <c r="I158" s="14"/>
      <c r="J158" s="10"/>
      <c r="K158" s="11"/>
      <c r="L158" s="12"/>
      <c r="M158" s="13"/>
    </row>
    <row r="159" spans="1:13">
      <c r="A159" s="22"/>
      <c r="B159" s="14"/>
      <c r="C159" s="10"/>
      <c r="D159" s="11"/>
      <c r="E159" s="12"/>
      <c r="F159" s="13"/>
      <c r="H159" s="22"/>
      <c r="I159" s="14"/>
      <c r="J159" s="10"/>
      <c r="K159" s="11"/>
      <c r="L159" s="12"/>
      <c r="M159" s="13"/>
    </row>
    <row r="160" spans="1:13">
      <c r="A160" s="14"/>
      <c r="B160" s="14"/>
      <c r="C160" s="10"/>
      <c r="D160" s="11"/>
      <c r="E160" s="12"/>
      <c r="F160" s="13"/>
      <c r="H160" s="14"/>
      <c r="I160" s="14"/>
      <c r="J160" s="10"/>
      <c r="K160" s="11"/>
      <c r="L160" s="12"/>
      <c r="M160" s="13"/>
    </row>
    <row r="161" spans="1:13">
      <c r="A161" s="5"/>
      <c r="B161" s="5"/>
      <c r="C161" s="15"/>
      <c r="D161" s="16"/>
      <c r="E161" s="5"/>
      <c r="F161" s="15"/>
      <c r="H161" s="5"/>
      <c r="I161" s="5"/>
      <c r="J161" s="15"/>
      <c r="K161" s="16"/>
      <c r="L161" s="5"/>
      <c r="M161" s="15"/>
    </row>
    <row r="162" spans="1:13">
      <c r="A162" s="14"/>
      <c r="B162" s="14"/>
      <c r="C162" s="10">
        <f>SUM(C150:C161)</f>
        <v>14604.61</v>
      </c>
      <c r="D162" s="11"/>
      <c r="E162" s="12"/>
      <c r="F162" s="10">
        <f>SUM(F150:F161)</f>
        <v>0</v>
      </c>
      <c r="H162" s="14"/>
      <c r="I162" s="14"/>
      <c r="J162" s="10">
        <f>SUM(J150:J161)</f>
        <v>60553.61</v>
      </c>
      <c r="K162" s="11"/>
      <c r="L162" s="12"/>
      <c r="M162" s="10">
        <f>SUM(M150:M161)</f>
        <v>0</v>
      </c>
    </row>
    <row r="163" spans="1:13">
      <c r="A163" s="5"/>
      <c r="B163" s="5"/>
      <c r="C163" s="15"/>
      <c r="D163" s="16"/>
      <c r="E163" s="5"/>
      <c r="F163" s="15"/>
      <c r="H163" s="5"/>
      <c r="I163" s="5"/>
      <c r="J163" s="15"/>
      <c r="K163" s="16"/>
      <c r="L163" s="5"/>
      <c r="M163" s="15"/>
    </row>
    <row r="164" spans="1:13">
      <c r="D164" s="17"/>
      <c r="J164" s="4"/>
      <c r="K164" s="17"/>
      <c r="M164" s="4"/>
    </row>
    <row r="165" spans="1:13">
      <c r="C165" s="23">
        <f>+C162-F162</f>
        <v>14604.61</v>
      </c>
      <c r="D165" s="17"/>
      <c r="J165" s="20">
        <f>+J162-M162</f>
        <v>60553.61</v>
      </c>
      <c r="K165" s="17"/>
    </row>
    <row r="166" spans="1:13">
      <c r="D166" s="17"/>
      <c r="J166" s="4"/>
      <c r="K166" s="17"/>
      <c r="M166" s="4"/>
    </row>
    <row r="169" spans="1:13">
      <c r="A169" s="236" t="str">
        <f>[2]trb!$A$37</f>
        <v>Fuel and Lubricants</v>
      </c>
      <c r="B169" s="236"/>
      <c r="C169" s="236"/>
      <c r="D169" s="236"/>
      <c r="E169" s="236"/>
      <c r="F169" s="236"/>
      <c r="H169" s="236" t="s">
        <v>93</v>
      </c>
      <c r="I169" s="236"/>
      <c r="J169" s="236"/>
      <c r="K169" s="236"/>
      <c r="L169" s="236"/>
      <c r="M169" s="236"/>
    </row>
    <row r="170" spans="1:13">
      <c r="A170" s="6"/>
      <c r="B170" s="6"/>
      <c r="C170" s="7"/>
      <c r="D170" s="8"/>
      <c r="E170" s="9"/>
      <c r="F170" s="7"/>
      <c r="H170" s="6"/>
      <c r="I170" s="6"/>
      <c r="J170" s="7"/>
      <c r="K170" s="8"/>
      <c r="L170" s="9"/>
      <c r="M170" s="7"/>
    </row>
    <row r="171" spans="1:13">
      <c r="A171" s="26" t="s">
        <v>90</v>
      </c>
      <c r="B171" s="6"/>
      <c r="C171" s="10">
        <v>0</v>
      </c>
      <c r="D171" s="11"/>
      <c r="E171" s="12"/>
      <c r="F171" s="13"/>
      <c r="G171" s="19"/>
      <c r="H171" s="30" t="s">
        <v>90</v>
      </c>
      <c r="I171" s="6"/>
      <c r="J171" s="10">
        <v>0</v>
      </c>
      <c r="K171" s="11"/>
      <c r="L171" s="12"/>
      <c r="M171" s="13"/>
    </row>
    <row r="172" spans="1:13">
      <c r="A172" s="21">
        <v>42735</v>
      </c>
      <c r="B172" s="31">
        <v>106</v>
      </c>
      <c r="C172" s="13">
        <v>105347.35</v>
      </c>
      <c r="D172" s="11"/>
      <c r="E172" s="12"/>
      <c r="F172" s="13"/>
      <c r="G172" s="19"/>
      <c r="H172" s="29">
        <v>42735</v>
      </c>
      <c r="I172" s="31">
        <v>107</v>
      </c>
      <c r="J172" s="13">
        <v>48755</v>
      </c>
      <c r="K172" s="11"/>
      <c r="L172" s="12"/>
      <c r="M172" s="13"/>
    </row>
    <row r="173" spans="1:13">
      <c r="A173" s="21" t="s">
        <v>91</v>
      </c>
      <c r="B173" s="12">
        <v>107</v>
      </c>
      <c r="C173" s="13">
        <v>97922.58</v>
      </c>
      <c r="D173" s="11"/>
      <c r="E173" s="12"/>
      <c r="F173" s="13"/>
      <c r="G173" s="19"/>
      <c r="H173" s="29"/>
      <c r="I173" s="12"/>
      <c r="J173" s="13"/>
      <c r="K173" s="11"/>
      <c r="L173" s="12"/>
      <c r="M173" s="13"/>
    </row>
    <row r="174" spans="1:13">
      <c r="A174" s="21" t="s">
        <v>91</v>
      </c>
      <c r="B174" s="12">
        <v>109</v>
      </c>
      <c r="C174" s="13">
        <v>144000</v>
      </c>
      <c r="D174" s="11"/>
      <c r="E174" s="12"/>
      <c r="F174" s="13"/>
      <c r="G174" s="19"/>
      <c r="H174" s="29"/>
      <c r="I174" s="12"/>
      <c r="J174" s="13"/>
      <c r="K174" s="11"/>
      <c r="L174" s="12"/>
      <c r="M174" s="13"/>
    </row>
    <row r="175" spans="1:13">
      <c r="A175" s="21"/>
      <c r="B175" s="12"/>
      <c r="C175" s="13"/>
      <c r="D175" s="11"/>
      <c r="E175" s="12"/>
      <c r="F175" s="13"/>
      <c r="G175" s="19"/>
      <c r="H175" s="29"/>
      <c r="I175" s="12"/>
      <c r="J175" s="13"/>
      <c r="K175" s="11"/>
      <c r="L175" s="12"/>
      <c r="M175" s="13"/>
    </row>
    <row r="176" spans="1:13">
      <c r="A176" s="21"/>
      <c r="B176" s="12"/>
      <c r="C176" s="13"/>
      <c r="D176" s="11"/>
      <c r="E176" s="12"/>
      <c r="F176" s="13"/>
      <c r="G176" s="19"/>
      <c r="H176" s="29"/>
      <c r="I176" s="12"/>
      <c r="J176" s="13"/>
      <c r="K176" s="11"/>
      <c r="L176" s="12"/>
      <c r="M176" s="13"/>
    </row>
    <row r="177" spans="1:13">
      <c r="A177" s="21"/>
      <c r="B177" s="12"/>
      <c r="C177" s="13"/>
      <c r="D177" s="11"/>
      <c r="E177" s="12"/>
      <c r="F177" s="13"/>
      <c r="G177" s="19"/>
      <c r="H177" s="29"/>
      <c r="I177" s="12"/>
      <c r="J177" s="13"/>
      <c r="K177" s="11"/>
      <c r="L177" s="12"/>
      <c r="M177" s="13"/>
    </row>
    <row r="178" spans="1:13">
      <c r="A178" s="29"/>
      <c r="B178" s="12"/>
      <c r="C178" s="13"/>
      <c r="D178" s="11"/>
      <c r="E178" s="12"/>
      <c r="F178" s="13"/>
      <c r="G178" s="19"/>
      <c r="H178" s="29"/>
      <c r="I178" s="12"/>
      <c r="J178" s="13"/>
      <c r="K178" s="11"/>
      <c r="L178" s="12"/>
      <c r="M178" s="13"/>
    </row>
    <row r="179" spans="1:13">
      <c r="A179" s="21"/>
      <c r="B179" s="12"/>
      <c r="C179" s="13"/>
      <c r="D179" s="11"/>
      <c r="E179" s="12"/>
      <c r="F179" s="13"/>
      <c r="G179" s="19"/>
      <c r="H179" s="29"/>
      <c r="I179" s="12"/>
      <c r="J179" s="13"/>
      <c r="K179" s="11"/>
      <c r="L179" s="12"/>
      <c r="M179" s="13"/>
    </row>
    <row r="180" spans="1:13">
      <c r="A180" s="21"/>
      <c r="B180" s="14"/>
      <c r="C180" s="10"/>
      <c r="D180" s="11"/>
      <c r="E180" s="12"/>
      <c r="F180" s="13"/>
      <c r="G180" s="19"/>
      <c r="H180" s="29"/>
      <c r="I180" s="14"/>
      <c r="J180" s="10"/>
      <c r="K180" s="11"/>
      <c r="L180" s="12"/>
      <c r="M180" s="13"/>
    </row>
    <row r="181" spans="1:13">
      <c r="A181" s="29"/>
      <c r="B181" s="14"/>
      <c r="C181" s="10"/>
      <c r="D181" s="11"/>
      <c r="E181" s="12"/>
      <c r="F181" s="13"/>
      <c r="G181" s="19"/>
      <c r="H181" s="29"/>
      <c r="I181" s="14"/>
      <c r="J181" s="10"/>
      <c r="K181" s="11"/>
      <c r="L181" s="12"/>
      <c r="M181" s="13"/>
    </row>
    <row r="182" spans="1:13">
      <c r="A182" s="29"/>
      <c r="B182" s="14"/>
      <c r="C182" s="10"/>
      <c r="D182" s="11"/>
      <c r="E182" s="12"/>
      <c r="F182" s="13"/>
      <c r="G182" s="19"/>
      <c r="H182" s="29"/>
      <c r="I182" s="14"/>
      <c r="J182" s="10"/>
      <c r="K182" s="11"/>
      <c r="L182" s="12"/>
      <c r="M182" s="13"/>
    </row>
    <row r="183" spans="1:13">
      <c r="A183" s="29"/>
      <c r="B183" s="14"/>
      <c r="C183" s="10"/>
      <c r="D183" s="11"/>
      <c r="E183" s="12"/>
      <c r="F183" s="13"/>
      <c r="G183" s="19"/>
      <c r="H183" s="29"/>
      <c r="I183" s="14"/>
      <c r="J183" s="10"/>
      <c r="K183" s="11"/>
      <c r="L183" s="12"/>
      <c r="M183" s="13"/>
    </row>
    <row r="184" spans="1:13">
      <c r="A184" s="21"/>
      <c r="B184" s="12"/>
      <c r="C184" s="13"/>
      <c r="D184" s="11"/>
      <c r="E184" s="12"/>
      <c r="F184" s="13"/>
      <c r="G184" s="19"/>
      <c r="H184" s="29"/>
      <c r="I184" s="12"/>
      <c r="J184" s="13"/>
      <c r="K184" s="11"/>
      <c r="L184" s="12"/>
      <c r="M184" s="13"/>
    </row>
    <row r="185" spans="1:13">
      <c r="A185" s="21"/>
      <c r="B185" s="12"/>
      <c r="C185" s="10"/>
      <c r="D185" s="11"/>
      <c r="E185" s="12"/>
      <c r="F185" s="13"/>
      <c r="G185" s="19"/>
      <c r="H185" s="29"/>
      <c r="I185" s="12"/>
      <c r="J185" s="10"/>
      <c r="K185" s="11"/>
      <c r="L185" s="12"/>
      <c r="M185" s="13"/>
    </row>
    <row r="186" spans="1:13">
      <c r="A186" s="29"/>
      <c r="B186" s="14"/>
      <c r="C186" s="10"/>
      <c r="D186" s="11"/>
      <c r="E186" s="12"/>
      <c r="F186" s="13"/>
      <c r="H186" s="29"/>
      <c r="I186" s="14"/>
      <c r="J186" s="10"/>
      <c r="K186" s="11"/>
      <c r="L186" s="12"/>
      <c r="M186" s="13"/>
    </row>
    <row r="187" spans="1:13">
      <c r="A187" s="22"/>
      <c r="B187" s="14"/>
      <c r="C187" s="10"/>
      <c r="D187" s="11"/>
      <c r="E187" s="12"/>
      <c r="F187" s="13"/>
      <c r="H187" s="22"/>
      <c r="I187" s="14"/>
      <c r="J187" s="10"/>
      <c r="K187" s="11"/>
      <c r="L187" s="12"/>
      <c r="M187" s="13"/>
    </row>
    <row r="188" spans="1:13">
      <c r="A188" s="29"/>
      <c r="B188" s="14"/>
      <c r="C188" s="10"/>
      <c r="D188" s="11"/>
      <c r="E188" s="12"/>
      <c r="F188" s="13"/>
      <c r="H188" s="29"/>
      <c r="I188" s="14"/>
      <c r="J188" s="10"/>
      <c r="K188" s="11"/>
      <c r="L188" s="12"/>
      <c r="M188" s="13"/>
    </row>
    <row r="189" spans="1:13">
      <c r="A189" s="29"/>
      <c r="B189" s="14"/>
      <c r="C189" s="10"/>
      <c r="D189" s="11"/>
      <c r="E189" s="12"/>
      <c r="F189" s="13"/>
      <c r="H189" s="29"/>
      <c r="I189" s="14"/>
      <c r="J189" s="10"/>
      <c r="K189" s="11"/>
      <c r="L189" s="12"/>
      <c r="M189" s="13"/>
    </row>
    <row r="190" spans="1:13">
      <c r="A190" s="29"/>
      <c r="B190" s="14"/>
      <c r="C190" s="10"/>
      <c r="D190" s="11"/>
      <c r="E190" s="12"/>
      <c r="F190" s="13"/>
      <c r="H190" s="29"/>
      <c r="I190" s="14"/>
      <c r="J190" s="10"/>
      <c r="K190" s="11"/>
      <c r="L190" s="12"/>
      <c r="M190" s="13"/>
    </row>
    <row r="191" spans="1:13">
      <c r="A191" s="29"/>
      <c r="B191" s="14"/>
      <c r="C191" s="10"/>
      <c r="D191" s="11"/>
      <c r="E191" s="12"/>
      <c r="F191" s="13"/>
      <c r="H191" s="29"/>
      <c r="I191" s="14"/>
      <c r="J191" s="10"/>
      <c r="K191" s="11"/>
      <c r="L191" s="12"/>
      <c r="M191" s="13"/>
    </row>
    <row r="192" spans="1:13">
      <c r="A192" s="5"/>
      <c r="B192" s="5"/>
      <c r="C192" s="15"/>
      <c r="D192" s="16"/>
      <c r="E192" s="5"/>
      <c r="F192" s="15"/>
      <c r="H192" s="5"/>
      <c r="I192" s="5"/>
      <c r="J192" s="15"/>
      <c r="K192" s="16"/>
      <c r="L192" s="5"/>
      <c r="M192" s="15"/>
    </row>
    <row r="193" spans="1:13">
      <c r="A193" s="14"/>
      <c r="B193" s="14"/>
      <c r="C193" s="10">
        <f>SUM(C171:C192)</f>
        <v>347269.93</v>
      </c>
      <c r="D193" s="11"/>
      <c r="E193" s="12"/>
      <c r="F193" s="10">
        <f>SUM(F171:F192)</f>
        <v>0</v>
      </c>
      <c r="H193" s="14"/>
      <c r="I193" s="14"/>
      <c r="J193" s="10">
        <f>SUM(J171:J192)</f>
        <v>48755</v>
      </c>
      <c r="K193" s="11"/>
      <c r="L193" s="12"/>
      <c r="M193" s="10">
        <f>SUM(M171:M192)</f>
        <v>0</v>
      </c>
    </row>
    <row r="194" spans="1:13">
      <c r="A194" s="5"/>
      <c r="B194" s="5"/>
      <c r="C194" s="15"/>
      <c r="D194" s="16"/>
      <c r="E194" s="5"/>
      <c r="F194" s="15"/>
      <c r="H194" s="5"/>
      <c r="I194" s="5"/>
      <c r="J194" s="15"/>
      <c r="K194" s="16"/>
      <c r="L194" s="5"/>
      <c r="M194" s="15"/>
    </row>
    <row r="195" spans="1:13">
      <c r="D195" s="17"/>
      <c r="J195" s="4"/>
      <c r="K195" s="17"/>
      <c r="M195" s="4"/>
    </row>
    <row r="196" spans="1:13">
      <c r="C196" s="23">
        <f>+C193-F193</f>
        <v>347269.93</v>
      </c>
      <c r="D196" s="17"/>
      <c r="J196" s="23">
        <f>+J193-M193</f>
        <v>48755</v>
      </c>
      <c r="K196" s="17"/>
      <c r="M196" s="4"/>
    </row>
    <row r="197" spans="1:13">
      <c r="D197" s="17"/>
      <c r="J197" s="4"/>
      <c r="K197" s="17"/>
      <c r="M197" s="4"/>
    </row>
    <row r="200" spans="1:13">
      <c r="A200" s="236" t="s">
        <v>83</v>
      </c>
      <c r="B200" s="236"/>
      <c r="C200" s="236"/>
      <c r="D200" s="236"/>
      <c r="E200" s="236"/>
      <c r="F200" s="236"/>
    </row>
    <row r="201" spans="1:13">
      <c r="A201" s="6"/>
      <c r="B201" s="6"/>
      <c r="C201" s="7"/>
      <c r="D201" s="8"/>
      <c r="E201" s="9"/>
      <c r="F201" s="7"/>
    </row>
    <row r="202" spans="1:13">
      <c r="A202" s="26" t="s">
        <v>90</v>
      </c>
      <c r="B202" s="6"/>
      <c r="C202" s="10">
        <v>0</v>
      </c>
      <c r="D202" s="11"/>
      <c r="E202" s="12"/>
      <c r="F202" s="13"/>
    </row>
    <row r="203" spans="1:13">
      <c r="A203" s="21">
        <v>42473</v>
      </c>
      <c r="B203" s="12">
        <v>16</v>
      </c>
      <c r="C203" s="13">
        <v>30102</v>
      </c>
      <c r="D203" s="11"/>
      <c r="E203" s="12"/>
      <c r="F203" s="13"/>
    </row>
    <row r="204" spans="1:13">
      <c r="A204" s="21">
        <v>42735</v>
      </c>
      <c r="B204" s="12">
        <v>107</v>
      </c>
      <c r="C204" s="13">
        <v>3770</v>
      </c>
      <c r="D204" s="11"/>
      <c r="E204" s="12"/>
      <c r="F204" s="13"/>
    </row>
    <row r="205" spans="1:13">
      <c r="A205" s="21" t="s">
        <v>91</v>
      </c>
      <c r="B205" s="12">
        <v>115</v>
      </c>
      <c r="C205" s="13">
        <v>48309.8</v>
      </c>
      <c r="D205" s="11"/>
      <c r="E205" s="12"/>
      <c r="F205" s="13"/>
    </row>
    <row r="206" spans="1:13">
      <c r="A206" s="21" t="s">
        <v>91</v>
      </c>
      <c r="B206" s="12">
        <v>118</v>
      </c>
      <c r="C206" s="13">
        <v>16464.7</v>
      </c>
      <c r="D206" s="11"/>
      <c r="E206" s="12"/>
      <c r="F206" s="13"/>
    </row>
    <row r="207" spans="1:13">
      <c r="A207" s="21" t="s">
        <v>91</v>
      </c>
      <c r="B207" s="12">
        <v>119</v>
      </c>
      <c r="C207" s="13">
        <v>16464.7</v>
      </c>
      <c r="D207" s="11"/>
      <c r="E207" s="12"/>
      <c r="F207" s="13"/>
    </row>
    <row r="208" spans="1:13">
      <c r="A208" s="29"/>
      <c r="B208" s="12"/>
      <c r="C208" s="13"/>
      <c r="D208" s="11"/>
      <c r="E208" s="12"/>
      <c r="F208" s="13"/>
    </row>
    <row r="209" spans="1:6">
      <c r="A209" s="21"/>
      <c r="B209" s="12"/>
      <c r="C209" s="13"/>
      <c r="D209" s="11"/>
      <c r="E209" s="12"/>
      <c r="F209" s="13"/>
    </row>
    <row r="210" spans="1:6">
      <c r="A210" s="21"/>
      <c r="B210" s="14"/>
      <c r="C210" s="10"/>
      <c r="D210" s="11"/>
      <c r="E210" s="12"/>
      <c r="F210" s="13"/>
    </row>
    <row r="211" spans="1:6">
      <c r="A211" s="29"/>
      <c r="B211" s="14"/>
      <c r="C211" s="10"/>
      <c r="D211" s="11"/>
      <c r="E211" s="12"/>
      <c r="F211" s="13"/>
    </row>
    <row r="212" spans="1:6">
      <c r="A212" s="29"/>
      <c r="B212" s="14"/>
      <c r="C212" s="10"/>
      <c r="D212" s="11"/>
      <c r="E212" s="12"/>
      <c r="F212" s="13"/>
    </row>
    <row r="213" spans="1:6">
      <c r="A213" s="29"/>
      <c r="B213" s="14"/>
      <c r="C213" s="10"/>
      <c r="D213" s="11"/>
      <c r="E213" s="12"/>
      <c r="F213" s="13"/>
    </row>
    <row r="214" spans="1:6">
      <c r="A214" s="21"/>
      <c r="B214" s="14"/>
      <c r="C214" s="13"/>
      <c r="D214" s="11"/>
      <c r="E214" s="12"/>
      <c r="F214" s="13"/>
    </row>
    <row r="215" spans="1:6">
      <c r="A215" s="29"/>
      <c r="B215" s="14"/>
      <c r="C215" s="10"/>
      <c r="D215" s="11"/>
      <c r="E215" s="12"/>
      <c r="F215" s="13"/>
    </row>
    <row r="216" spans="1:6">
      <c r="A216" s="29"/>
      <c r="B216" s="14"/>
      <c r="C216" s="13"/>
      <c r="D216" s="11"/>
      <c r="E216" s="12"/>
      <c r="F216" s="13"/>
    </row>
    <row r="217" spans="1:6">
      <c r="A217" s="29"/>
      <c r="B217" s="14"/>
      <c r="C217" s="13"/>
      <c r="D217" s="11"/>
      <c r="E217" s="12"/>
      <c r="F217" s="13"/>
    </row>
    <row r="218" spans="1:6">
      <c r="A218" s="29"/>
      <c r="B218" s="14"/>
      <c r="C218" s="13"/>
      <c r="D218" s="11"/>
      <c r="E218" s="12"/>
      <c r="F218" s="13"/>
    </row>
    <row r="219" spans="1:6">
      <c r="A219" s="29"/>
      <c r="B219" s="14"/>
      <c r="C219" s="13"/>
      <c r="D219" s="11"/>
      <c r="E219" s="12"/>
      <c r="F219" s="13"/>
    </row>
    <row r="220" spans="1:6">
      <c r="A220" s="29"/>
      <c r="B220" s="14"/>
      <c r="C220" s="13"/>
      <c r="D220" s="11"/>
      <c r="E220" s="12"/>
      <c r="F220" s="13"/>
    </row>
    <row r="221" spans="1:6">
      <c r="A221" s="22"/>
      <c r="B221" s="14"/>
      <c r="C221" s="10"/>
      <c r="D221" s="11"/>
      <c r="E221" s="12"/>
      <c r="F221" s="13"/>
    </row>
    <row r="222" spans="1:6">
      <c r="A222" s="22"/>
      <c r="B222" s="14"/>
      <c r="C222" s="10"/>
      <c r="D222" s="11"/>
      <c r="E222" s="12"/>
      <c r="F222" s="13"/>
    </row>
    <row r="223" spans="1:6">
      <c r="A223" s="22"/>
      <c r="B223" s="14"/>
      <c r="C223" s="10"/>
      <c r="D223" s="11"/>
      <c r="E223" s="12"/>
      <c r="F223" s="13"/>
    </row>
    <row r="224" spans="1:6">
      <c r="A224" s="22"/>
      <c r="B224" s="14"/>
      <c r="C224" s="10"/>
      <c r="D224" s="11"/>
      <c r="E224" s="12"/>
      <c r="F224" s="13"/>
    </row>
    <row r="225" spans="1:6">
      <c r="A225" s="22"/>
      <c r="B225" s="14"/>
      <c r="C225" s="10"/>
      <c r="D225" s="11"/>
      <c r="E225" s="12"/>
      <c r="F225" s="13"/>
    </row>
    <row r="226" spans="1:6">
      <c r="A226" s="22"/>
      <c r="B226" s="14"/>
      <c r="C226" s="10"/>
      <c r="D226" s="11"/>
      <c r="E226" s="12"/>
      <c r="F226" s="13"/>
    </row>
    <row r="227" spans="1:6">
      <c r="A227" s="22"/>
      <c r="B227" s="14"/>
      <c r="C227" s="10"/>
      <c r="D227" s="11"/>
      <c r="E227" s="12"/>
      <c r="F227" s="13"/>
    </row>
    <row r="228" spans="1:6">
      <c r="A228" s="22"/>
      <c r="B228" s="14"/>
      <c r="C228" s="10"/>
      <c r="D228" s="11"/>
      <c r="E228" s="12"/>
      <c r="F228" s="13"/>
    </row>
    <row r="229" spans="1:6">
      <c r="A229" s="22"/>
      <c r="B229" s="14"/>
      <c r="C229" s="10"/>
      <c r="D229" s="11"/>
      <c r="E229" s="12"/>
      <c r="F229" s="13"/>
    </row>
    <row r="230" spans="1:6">
      <c r="A230" s="5"/>
      <c r="B230" s="5"/>
      <c r="C230" s="15"/>
      <c r="D230" s="16"/>
      <c r="E230" s="5"/>
      <c r="F230" s="15"/>
    </row>
    <row r="231" spans="1:6">
      <c r="A231" s="14"/>
      <c r="B231" s="14"/>
      <c r="C231" s="10">
        <f>SUM(C202:C230)</f>
        <v>115111.2</v>
      </c>
      <c r="D231" s="11"/>
      <c r="E231" s="12"/>
      <c r="F231" s="10">
        <f>SUM(F202:F230)</f>
        <v>0</v>
      </c>
    </row>
    <row r="232" spans="1:6">
      <c r="A232" s="5"/>
      <c r="B232" s="5"/>
      <c r="C232" s="15"/>
      <c r="D232" s="16"/>
      <c r="E232" s="5"/>
      <c r="F232" s="15"/>
    </row>
    <row r="233" spans="1:6">
      <c r="D233" s="17"/>
    </row>
    <row r="234" spans="1:6">
      <c r="C234" s="23">
        <f>+C231-F231</f>
        <v>115111.2</v>
      </c>
      <c r="D234" s="17"/>
    </row>
    <row r="235" spans="1:6">
      <c r="D235" s="17"/>
    </row>
    <row r="237" spans="1:6">
      <c r="A237" s="236" t="s">
        <v>38</v>
      </c>
      <c r="B237" s="236"/>
      <c r="C237" s="236"/>
      <c r="D237" s="236"/>
      <c r="E237" s="236"/>
      <c r="F237" s="236"/>
    </row>
    <row r="238" spans="1:6">
      <c r="A238" s="6"/>
      <c r="B238" s="6"/>
      <c r="C238" s="7"/>
      <c r="D238" s="8"/>
      <c r="E238" s="9"/>
      <c r="F238" s="7"/>
    </row>
    <row r="239" spans="1:6">
      <c r="A239" s="26" t="s">
        <v>90</v>
      </c>
      <c r="B239" s="6"/>
      <c r="C239" s="10">
        <v>0</v>
      </c>
      <c r="D239" s="11"/>
      <c r="E239" s="12"/>
      <c r="F239" s="13"/>
    </row>
    <row r="240" spans="1:6">
      <c r="A240" s="21">
        <v>42505</v>
      </c>
      <c r="B240" s="12">
        <v>29</v>
      </c>
      <c r="C240" s="13">
        <v>15817.38</v>
      </c>
      <c r="D240" s="11"/>
      <c r="E240" s="12"/>
      <c r="F240" s="13"/>
    </row>
    <row r="241" spans="1:6">
      <c r="A241" s="21">
        <v>42589</v>
      </c>
      <c r="B241" s="12">
        <v>60</v>
      </c>
      <c r="C241" s="13">
        <v>9132.6</v>
      </c>
      <c r="D241" s="11"/>
      <c r="E241" s="12"/>
      <c r="F241" s="13"/>
    </row>
    <row r="242" spans="1:6">
      <c r="A242" s="21">
        <v>42735</v>
      </c>
      <c r="B242" s="12">
        <v>103</v>
      </c>
      <c r="C242" s="13">
        <v>30097.279999999999</v>
      </c>
      <c r="D242" s="11"/>
      <c r="E242" s="12"/>
      <c r="F242" s="13"/>
    </row>
    <row r="243" spans="1:6">
      <c r="A243" s="29"/>
      <c r="B243" s="12"/>
      <c r="C243" s="13"/>
      <c r="D243" s="11"/>
      <c r="E243" s="12"/>
      <c r="F243" s="13"/>
    </row>
    <row r="244" spans="1:6">
      <c r="A244" s="21"/>
      <c r="B244" s="12"/>
      <c r="C244" s="13"/>
      <c r="D244" s="11"/>
      <c r="E244" s="12"/>
      <c r="F244" s="13"/>
    </row>
    <row r="245" spans="1:6">
      <c r="A245" s="21"/>
      <c r="B245" s="12"/>
      <c r="C245" s="13"/>
      <c r="D245" s="11"/>
      <c r="E245" s="12"/>
      <c r="F245" s="13"/>
    </row>
    <row r="246" spans="1:6">
      <c r="A246" s="22"/>
      <c r="B246" s="14"/>
      <c r="C246" s="10"/>
      <c r="D246" s="11"/>
      <c r="E246" s="12"/>
      <c r="F246" s="13"/>
    </row>
    <row r="247" spans="1:6">
      <c r="A247" s="22"/>
      <c r="B247" s="14"/>
      <c r="C247" s="10"/>
      <c r="D247" s="11"/>
      <c r="E247" s="12"/>
      <c r="F247" s="13"/>
    </row>
    <row r="248" spans="1:6">
      <c r="A248" s="22"/>
      <c r="B248" s="14"/>
      <c r="C248" s="10"/>
      <c r="D248" s="11"/>
      <c r="E248" s="12"/>
      <c r="F248" s="13"/>
    </row>
    <row r="249" spans="1:6">
      <c r="A249" s="22"/>
      <c r="B249" s="14"/>
      <c r="C249" s="10"/>
      <c r="D249" s="11"/>
      <c r="E249" s="12"/>
      <c r="F249" s="13"/>
    </row>
    <row r="250" spans="1:6">
      <c r="A250" s="22"/>
      <c r="B250" s="14"/>
      <c r="C250" s="10"/>
      <c r="D250" s="11"/>
      <c r="E250" s="12"/>
      <c r="F250" s="13"/>
    </row>
    <row r="251" spans="1:6">
      <c r="A251" s="22"/>
      <c r="B251" s="14"/>
      <c r="C251" s="10"/>
      <c r="D251" s="11"/>
      <c r="E251" s="12"/>
      <c r="F251" s="13"/>
    </row>
    <row r="252" spans="1:6">
      <c r="A252" s="22"/>
      <c r="B252" s="14"/>
      <c r="C252" s="10"/>
      <c r="D252" s="11"/>
      <c r="E252" s="12"/>
      <c r="F252" s="13"/>
    </row>
    <row r="253" spans="1:6">
      <c r="A253" s="22"/>
      <c r="B253" s="14"/>
      <c r="C253" s="10"/>
      <c r="D253" s="11"/>
      <c r="E253" s="12"/>
      <c r="F253" s="13"/>
    </row>
    <row r="254" spans="1:6">
      <c r="A254" s="22"/>
      <c r="B254" s="14"/>
      <c r="C254" s="10"/>
      <c r="D254" s="11"/>
      <c r="E254" s="12"/>
      <c r="F254" s="13"/>
    </row>
    <row r="255" spans="1:6">
      <c r="A255" s="22"/>
      <c r="B255" s="14"/>
      <c r="C255" s="10"/>
      <c r="D255" s="11"/>
      <c r="E255" s="12"/>
      <c r="F255" s="13"/>
    </row>
    <row r="256" spans="1:6">
      <c r="A256" s="22"/>
      <c r="B256" s="14"/>
      <c r="C256" s="10"/>
      <c r="D256" s="11"/>
      <c r="E256" s="12"/>
      <c r="F256" s="13"/>
    </row>
    <row r="257" spans="1:6">
      <c r="A257" s="22"/>
      <c r="B257" s="14"/>
      <c r="C257" s="10"/>
      <c r="D257" s="11"/>
      <c r="E257" s="12"/>
      <c r="F257" s="13"/>
    </row>
    <row r="258" spans="1:6">
      <c r="A258" s="5"/>
      <c r="B258" s="5"/>
      <c r="C258" s="15"/>
      <c r="D258" s="16"/>
      <c r="E258" s="5"/>
      <c r="F258" s="15"/>
    </row>
    <row r="259" spans="1:6">
      <c r="A259" s="14"/>
      <c r="B259" s="14"/>
      <c r="C259" s="10">
        <f>SUM(C239:C258)</f>
        <v>55047.26</v>
      </c>
      <c r="D259" s="11"/>
      <c r="E259" s="12"/>
      <c r="F259" s="10">
        <f>SUM(F239:F258)</f>
        <v>0</v>
      </c>
    </row>
    <row r="260" spans="1:6">
      <c r="A260" s="5"/>
      <c r="B260" s="5"/>
      <c r="C260" s="15"/>
      <c r="D260" s="16"/>
      <c r="E260" s="5"/>
      <c r="F260" s="15"/>
    </row>
    <row r="261" spans="1:6">
      <c r="D261" s="17"/>
    </row>
    <row r="262" spans="1:6">
      <c r="C262" s="23">
        <f>+C259-F259</f>
        <v>55047.26</v>
      </c>
      <c r="D262" s="17"/>
    </row>
    <row r="263" spans="1:6">
      <c r="D263" s="17"/>
    </row>
    <row r="266" spans="1:6">
      <c r="A266" s="236" t="s">
        <v>94</v>
      </c>
      <c r="B266" s="236"/>
      <c r="C266" s="236"/>
      <c r="D266" s="236"/>
      <c r="E266" s="236"/>
      <c r="F266" s="236"/>
    </row>
    <row r="267" spans="1:6">
      <c r="A267" s="6"/>
      <c r="B267" s="6"/>
      <c r="C267" s="7"/>
      <c r="D267" s="8"/>
      <c r="E267" s="9"/>
      <c r="F267" s="7"/>
    </row>
    <row r="268" spans="1:6">
      <c r="A268" s="26" t="s">
        <v>90</v>
      </c>
      <c r="B268" s="6"/>
      <c r="C268" s="10">
        <v>0</v>
      </c>
      <c r="D268" s="11"/>
      <c r="E268" s="12"/>
      <c r="F268" s="13"/>
    </row>
    <row r="269" spans="1:6">
      <c r="A269" s="21">
        <v>42422</v>
      </c>
      <c r="B269" s="12">
        <v>2</v>
      </c>
      <c r="C269" s="13">
        <v>6631.5</v>
      </c>
      <c r="D269" s="11"/>
      <c r="E269" s="12"/>
      <c r="F269" s="13"/>
    </row>
    <row r="270" spans="1:6">
      <c r="A270" s="29">
        <v>42431</v>
      </c>
      <c r="B270" s="12">
        <v>9</v>
      </c>
      <c r="C270" s="13">
        <v>5056.79</v>
      </c>
      <c r="D270" s="11"/>
      <c r="E270" s="12"/>
      <c r="F270" s="13"/>
    </row>
    <row r="271" spans="1:6">
      <c r="A271" s="29">
        <v>42489</v>
      </c>
      <c r="B271" s="12">
        <v>26</v>
      </c>
      <c r="C271" s="13">
        <v>1850</v>
      </c>
      <c r="D271" s="11"/>
      <c r="E271" s="12"/>
      <c r="F271" s="13"/>
    </row>
    <row r="272" spans="1:6">
      <c r="A272" s="29">
        <v>42552</v>
      </c>
      <c r="B272" s="12">
        <v>38</v>
      </c>
      <c r="C272" s="13">
        <v>9325.6</v>
      </c>
      <c r="D272" s="11"/>
      <c r="E272" s="12"/>
      <c r="F272" s="13"/>
    </row>
    <row r="273" spans="1:6">
      <c r="A273" s="29">
        <v>42566</v>
      </c>
      <c r="B273" s="12">
        <v>44</v>
      </c>
      <c r="C273" s="13">
        <v>2485</v>
      </c>
      <c r="D273" s="11"/>
      <c r="E273" s="12"/>
      <c r="F273" s="13"/>
    </row>
    <row r="274" spans="1:6">
      <c r="A274" s="22" t="s">
        <v>91</v>
      </c>
      <c r="B274" s="14">
        <v>46</v>
      </c>
      <c r="C274" s="10">
        <v>4546.25</v>
      </c>
      <c r="D274" s="11"/>
      <c r="E274" s="12"/>
      <c r="F274" s="13"/>
    </row>
    <row r="275" spans="1:6">
      <c r="A275" s="22" t="s">
        <v>91</v>
      </c>
      <c r="B275" s="14">
        <v>47</v>
      </c>
      <c r="C275" s="10">
        <v>7700.33</v>
      </c>
      <c r="D275" s="11"/>
      <c r="E275" s="12"/>
      <c r="F275" s="13"/>
    </row>
    <row r="276" spans="1:6">
      <c r="A276" s="22" t="s">
        <v>91</v>
      </c>
      <c r="B276" s="14">
        <v>48</v>
      </c>
      <c r="C276" s="10">
        <v>6149.81</v>
      </c>
      <c r="D276" s="11"/>
      <c r="E276" s="12"/>
      <c r="F276" s="13"/>
    </row>
    <row r="277" spans="1:6">
      <c r="A277" s="22" t="s">
        <v>91</v>
      </c>
      <c r="B277" s="14">
        <v>49</v>
      </c>
      <c r="C277" s="10">
        <v>9006.24</v>
      </c>
      <c r="D277" s="11"/>
      <c r="E277" s="12"/>
      <c r="F277" s="13"/>
    </row>
    <row r="278" spans="1:6">
      <c r="A278" s="22">
        <v>42608</v>
      </c>
      <c r="B278" s="14">
        <v>69</v>
      </c>
      <c r="C278" s="10">
        <v>5072.76</v>
      </c>
      <c r="D278" s="11"/>
      <c r="E278" s="12"/>
      <c r="F278" s="13"/>
    </row>
    <row r="279" spans="1:6">
      <c r="A279" s="22">
        <v>42608</v>
      </c>
      <c r="B279" s="14">
        <v>70</v>
      </c>
      <c r="C279" s="10">
        <v>5752.7</v>
      </c>
      <c r="D279" s="11"/>
      <c r="E279" s="12"/>
      <c r="F279" s="13"/>
    </row>
    <row r="280" spans="1:6">
      <c r="A280" s="22">
        <v>42646</v>
      </c>
      <c r="B280" s="14">
        <v>79</v>
      </c>
      <c r="C280" s="10">
        <v>5864.7</v>
      </c>
      <c r="D280" s="11"/>
      <c r="E280" s="12"/>
      <c r="F280" s="13"/>
    </row>
    <row r="281" spans="1:6">
      <c r="A281" s="22" t="s">
        <v>91</v>
      </c>
      <c r="B281" s="14">
        <v>81</v>
      </c>
      <c r="C281" s="10">
        <v>4216</v>
      </c>
      <c r="D281" s="11"/>
      <c r="E281" s="12"/>
      <c r="F281" s="13"/>
    </row>
    <row r="282" spans="1:6">
      <c r="A282" s="22" t="s">
        <v>91</v>
      </c>
      <c r="B282" s="14">
        <v>82</v>
      </c>
      <c r="C282" s="10">
        <v>5666.6</v>
      </c>
      <c r="D282" s="11"/>
      <c r="E282" s="12"/>
      <c r="F282" s="13"/>
    </row>
    <row r="283" spans="1:6">
      <c r="A283" s="22">
        <v>42713</v>
      </c>
      <c r="B283" s="14">
        <v>88</v>
      </c>
      <c r="C283" s="10">
        <v>5435.22</v>
      </c>
      <c r="D283" s="11"/>
      <c r="E283" s="12"/>
      <c r="F283" s="13"/>
    </row>
    <row r="284" spans="1:6">
      <c r="A284" s="22">
        <v>42735</v>
      </c>
      <c r="B284" s="14">
        <v>113</v>
      </c>
      <c r="C284" s="10">
        <v>1085</v>
      </c>
      <c r="D284" s="11"/>
      <c r="E284" s="12"/>
      <c r="F284" s="13"/>
    </row>
    <row r="285" spans="1:6">
      <c r="A285" s="22"/>
      <c r="B285" s="14"/>
      <c r="C285" s="10"/>
      <c r="D285" s="11"/>
      <c r="E285" s="12"/>
      <c r="F285" s="13"/>
    </row>
    <row r="286" spans="1:6">
      <c r="A286" s="5"/>
      <c r="B286" s="5"/>
      <c r="C286" s="15"/>
      <c r="D286" s="16"/>
      <c r="E286" s="5"/>
      <c r="F286" s="15"/>
    </row>
    <row r="287" spans="1:6">
      <c r="A287" s="14"/>
      <c r="B287" s="14"/>
      <c r="C287" s="10">
        <f>SUM(C268:C286)</f>
        <v>85844.5</v>
      </c>
      <c r="D287" s="11"/>
      <c r="E287" s="12"/>
      <c r="F287" s="10">
        <f>SUM(F268:F286)</f>
        <v>0</v>
      </c>
    </row>
    <row r="288" spans="1:6">
      <c r="A288" s="5"/>
      <c r="B288" s="5"/>
      <c r="C288" s="15"/>
      <c r="D288" s="16"/>
      <c r="E288" s="5"/>
      <c r="F288" s="15"/>
    </row>
    <row r="289" spans="1:6">
      <c r="D289" s="17"/>
    </row>
    <row r="290" spans="1:6">
      <c r="C290" s="23">
        <f>+C287-F287</f>
        <v>85844.5</v>
      </c>
      <c r="D290" s="17"/>
    </row>
    <row r="291" spans="1:6">
      <c r="D291" s="17"/>
    </row>
    <row r="295" spans="1:6">
      <c r="A295" s="236" t="s">
        <v>95</v>
      </c>
      <c r="B295" s="236"/>
      <c r="C295" s="236"/>
      <c r="D295" s="236"/>
      <c r="E295" s="236"/>
      <c r="F295" s="236"/>
    </row>
    <row r="296" spans="1:6">
      <c r="A296" s="6"/>
      <c r="B296" s="6"/>
      <c r="C296" s="7"/>
      <c r="D296" s="8"/>
      <c r="E296" s="9"/>
      <c r="F296" s="7"/>
    </row>
    <row r="297" spans="1:6">
      <c r="A297" s="26" t="s">
        <v>90</v>
      </c>
      <c r="B297" s="6"/>
      <c r="C297" s="10">
        <v>0</v>
      </c>
      <c r="D297" s="11"/>
      <c r="E297" s="12"/>
      <c r="F297" s="13"/>
    </row>
    <row r="298" spans="1:6">
      <c r="A298" s="21">
        <v>42422</v>
      </c>
      <c r="B298" s="12">
        <v>3</v>
      </c>
      <c r="C298" s="13">
        <v>600</v>
      </c>
      <c r="D298" s="11"/>
      <c r="E298" s="12"/>
      <c r="F298" s="13"/>
    </row>
    <row r="299" spans="1:6">
      <c r="A299" s="21" t="s">
        <v>91</v>
      </c>
      <c r="B299" s="12">
        <v>4</v>
      </c>
      <c r="C299" s="13">
        <v>1290</v>
      </c>
      <c r="D299" s="11"/>
      <c r="E299" s="12"/>
      <c r="F299" s="13"/>
    </row>
    <row r="300" spans="1:6">
      <c r="A300" s="21">
        <v>42433</v>
      </c>
      <c r="B300" s="12">
        <v>12</v>
      </c>
      <c r="C300" s="13">
        <v>300</v>
      </c>
      <c r="D300" s="11"/>
      <c r="E300" s="12"/>
      <c r="F300" s="13"/>
    </row>
    <row r="301" spans="1:6">
      <c r="A301" s="21" t="s">
        <v>91</v>
      </c>
      <c r="B301" s="12">
        <v>13</v>
      </c>
      <c r="C301" s="13">
        <v>1290</v>
      </c>
      <c r="D301" s="11"/>
      <c r="E301" s="12"/>
      <c r="F301" s="13"/>
    </row>
    <row r="302" spans="1:6">
      <c r="A302" s="29">
        <v>42473</v>
      </c>
      <c r="B302" s="12">
        <v>15</v>
      </c>
      <c r="C302" s="13">
        <v>300</v>
      </c>
      <c r="D302" s="11"/>
      <c r="E302" s="12"/>
      <c r="F302" s="13"/>
    </row>
    <row r="303" spans="1:6">
      <c r="A303" s="21" t="s">
        <v>91</v>
      </c>
      <c r="B303" s="12">
        <v>18</v>
      </c>
      <c r="C303" s="13">
        <v>1290</v>
      </c>
      <c r="D303" s="11"/>
      <c r="E303" s="12"/>
      <c r="F303" s="13"/>
    </row>
    <row r="304" spans="1:6">
      <c r="A304" s="21">
        <v>42489</v>
      </c>
      <c r="B304" s="14">
        <v>25</v>
      </c>
      <c r="C304" s="10">
        <v>1290</v>
      </c>
      <c r="D304" s="11"/>
      <c r="E304" s="12"/>
      <c r="F304" s="13"/>
    </row>
    <row r="305" spans="1:6">
      <c r="A305" s="29">
        <v>42528</v>
      </c>
      <c r="B305" s="12">
        <v>30</v>
      </c>
      <c r="C305" s="13">
        <v>1290</v>
      </c>
      <c r="D305" s="11"/>
      <c r="E305" s="12"/>
      <c r="F305" s="13"/>
    </row>
    <row r="306" spans="1:6">
      <c r="A306" s="29" t="s">
        <v>91</v>
      </c>
      <c r="B306" s="12">
        <v>32</v>
      </c>
      <c r="C306" s="13">
        <v>300</v>
      </c>
      <c r="D306" s="11"/>
      <c r="E306" s="12"/>
      <c r="F306" s="13"/>
    </row>
    <row r="307" spans="1:6">
      <c r="A307" s="29">
        <v>42552</v>
      </c>
      <c r="B307" s="12">
        <v>39</v>
      </c>
      <c r="C307" s="13">
        <v>300</v>
      </c>
      <c r="D307" s="11"/>
      <c r="E307" s="12"/>
      <c r="F307" s="13"/>
    </row>
    <row r="308" spans="1:6">
      <c r="A308" s="29" t="s">
        <v>91</v>
      </c>
      <c r="B308" s="12">
        <v>42</v>
      </c>
      <c r="C308" s="13">
        <v>300</v>
      </c>
      <c r="D308" s="11"/>
      <c r="E308" s="12"/>
      <c r="F308" s="13"/>
    </row>
    <row r="309" spans="1:6">
      <c r="A309" s="21">
        <v>42578</v>
      </c>
      <c r="B309" s="12">
        <v>57</v>
      </c>
      <c r="C309" s="13">
        <v>1290</v>
      </c>
      <c r="D309" s="11"/>
      <c r="E309" s="12"/>
      <c r="F309" s="13"/>
    </row>
    <row r="310" spans="1:6">
      <c r="A310" s="21">
        <v>42608</v>
      </c>
      <c r="B310" s="12">
        <v>71</v>
      </c>
      <c r="C310" s="13">
        <v>1306.8</v>
      </c>
      <c r="D310" s="11"/>
      <c r="E310" s="12"/>
      <c r="F310" s="13"/>
    </row>
    <row r="311" spans="1:6">
      <c r="A311" s="29">
        <v>42646</v>
      </c>
      <c r="B311" s="12">
        <v>73</v>
      </c>
      <c r="C311" s="13">
        <v>300</v>
      </c>
      <c r="D311" s="11"/>
      <c r="E311" s="12"/>
      <c r="F311" s="13"/>
    </row>
    <row r="312" spans="1:6">
      <c r="A312" s="29" t="s">
        <v>91</v>
      </c>
      <c r="B312" s="12">
        <v>74</v>
      </c>
      <c r="C312" s="13">
        <v>300</v>
      </c>
      <c r="D312" s="11"/>
      <c r="E312" s="12"/>
      <c r="F312" s="13"/>
    </row>
    <row r="313" spans="1:6">
      <c r="A313" s="29" t="s">
        <v>91</v>
      </c>
      <c r="B313" s="12">
        <v>75</v>
      </c>
      <c r="C313" s="13">
        <v>1353.84</v>
      </c>
      <c r="D313" s="11"/>
      <c r="E313" s="12"/>
      <c r="F313" s="13"/>
    </row>
    <row r="314" spans="1:6">
      <c r="A314" s="29">
        <v>42648</v>
      </c>
      <c r="B314" s="12">
        <v>83</v>
      </c>
      <c r="C314" s="13">
        <v>300</v>
      </c>
      <c r="D314" s="11"/>
      <c r="E314" s="12"/>
      <c r="F314" s="13"/>
    </row>
    <row r="315" spans="1:6">
      <c r="A315" s="29">
        <v>42692</v>
      </c>
      <c r="B315" s="12">
        <v>84</v>
      </c>
      <c r="C315" s="13">
        <v>300</v>
      </c>
      <c r="D315" s="11"/>
      <c r="E315" s="12"/>
      <c r="F315" s="13"/>
    </row>
    <row r="316" spans="1:6">
      <c r="A316" s="29" t="s">
        <v>91</v>
      </c>
      <c r="B316" s="12">
        <v>85</v>
      </c>
      <c r="C316" s="13">
        <v>1290</v>
      </c>
      <c r="D316" s="11"/>
      <c r="E316" s="12"/>
      <c r="F316" s="13"/>
    </row>
    <row r="317" spans="1:6">
      <c r="A317" s="29">
        <v>42713</v>
      </c>
      <c r="B317" s="12">
        <v>89</v>
      </c>
      <c r="C317" s="13">
        <v>1290</v>
      </c>
      <c r="D317" s="11"/>
      <c r="E317" s="12"/>
      <c r="F317" s="13"/>
    </row>
    <row r="318" spans="1:6">
      <c r="A318" s="29">
        <v>42735</v>
      </c>
      <c r="B318" s="12">
        <v>111</v>
      </c>
      <c r="C318" s="13">
        <v>1290</v>
      </c>
      <c r="D318" s="11"/>
      <c r="E318" s="12"/>
      <c r="F318" s="13"/>
    </row>
    <row r="319" spans="1:6">
      <c r="A319" s="29" t="s">
        <v>91</v>
      </c>
      <c r="B319" s="12">
        <v>112</v>
      </c>
      <c r="C319" s="13">
        <v>600</v>
      </c>
      <c r="D319" s="11"/>
      <c r="E319" s="12"/>
      <c r="F319" s="13"/>
    </row>
    <row r="320" spans="1:6">
      <c r="A320" s="29"/>
      <c r="B320" s="12"/>
      <c r="C320" s="13"/>
      <c r="D320" s="11"/>
      <c r="E320" s="12"/>
      <c r="F320" s="13"/>
    </row>
    <row r="321" spans="1:6">
      <c r="A321" s="29"/>
      <c r="B321" s="12"/>
      <c r="C321" s="13"/>
      <c r="D321" s="11"/>
      <c r="E321" s="12"/>
      <c r="F321" s="13"/>
    </row>
    <row r="322" spans="1:6">
      <c r="A322" s="29"/>
      <c r="B322" s="12"/>
      <c r="C322" s="13"/>
      <c r="D322" s="11"/>
      <c r="E322" s="12"/>
      <c r="F322" s="13"/>
    </row>
    <row r="323" spans="1:6">
      <c r="A323" s="29"/>
      <c r="B323" s="12"/>
      <c r="C323" s="13"/>
      <c r="D323" s="11"/>
      <c r="E323" s="12"/>
      <c r="F323" s="13"/>
    </row>
    <row r="324" spans="1:6">
      <c r="A324" s="29"/>
      <c r="B324" s="12"/>
      <c r="C324" s="13"/>
      <c r="D324" s="11"/>
      <c r="E324" s="12"/>
      <c r="F324" s="13"/>
    </row>
    <row r="325" spans="1:6">
      <c r="A325" s="5"/>
      <c r="B325" s="5"/>
      <c r="C325" s="15"/>
      <c r="D325" s="16"/>
      <c r="E325" s="5"/>
      <c r="F325" s="15"/>
    </row>
    <row r="326" spans="1:6">
      <c r="A326" s="14"/>
      <c r="B326" s="14"/>
      <c r="C326" s="10">
        <f>SUM(C297:C325)</f>
        <v>18170.64</v>
      </c>
      <c r="D326" s="11"/>
      <c r="E326" s="12"/>
      <c r="F326" s="10">
        <f>SUM(F297:F325)</f>
        <v>0</v>
      </c>
    </row>
    <row r="327" spans="1:6">
      <c r="A327" s="5"/>
      <c r="B327" s="5"/>
      <c r="C327" s="15"/>
      <c r="D327" s="16"/>
      <c r="E327" s="5"/>
      <c r="F327" s="15"/>
    </row>
    <row r="328" spans="1:6">
      <c r="D328" s="17"/>
    </row>
    <row r="329" spans="1:6">
      <c r="C329" s="23">
        <f>+C326-F326</f>
        <v>18170.64</v>
      </c>
      <c r="D329" s="17"/>
    </row>
    <row r="330" spans="1:6">
      <c r="D330" s="17"/>
    </row>
    <row r="333" spans="1:6">
      <c r="A333" s="236" t="s">
        <v>41</v>
      </c>
      <c r="B333" s="236"/>
      <c r="C333" s="236"/>
      <c r="D333" s="236"/>
      <c r="E333" s="236"/>
      <c r="F333" s="236"/>
    </row>
    <row r="334" spans="1:6">
      <c r="A334" s="6"/>
      <c r="B334" s="6"/>
      <c r="C334" s="7"/>
      <c r="D334" s="8"/>
      <c r="E334" s="9"/>
      <c r="F334" s="7"/>
    </row>
    <row r="335" spans="1:6">
      <c r="A335" s="26" t="s">
        <v>90</v>
      </c>
      <c r="B335" s="6"/>
      <c r="C335" s="10">
        <v>0</v>
      </c>
      <c r="D335" s="11"/>
      <c r="E335" s="12"/>
      <c r="F335" s="13"/>
    </row>
    <row r="336" spans="1:6">
      <c r="A336" s="21">
        <v>42433</v>
      </c>
      <c r="B336" s="12">
        <v>14</v>
      </c>
      <c r="C336" s="13">
        <v>500</v>
      </c>
      <c r="D336" s="11"/>
      <c r="E336" s="12"/>
      <c r="F336" s="13"/>
    </row>
    <row r="337" spans="1:6">
      <c r="A337" s="21">
        <v>42601</v>
      </c>
      <c r="B337" s="12">
        <v>61</v>
      </c>
      <c r="C337" s="13">
        <v>2354.33</v>
      </c>
      <c r="D337" s="11"/>
      <c r="E337" s="12"/>
      <c r="F337" s="13"/>
    </row>
    <row r="338" spans="1:6">
      <c r="A338" s="21" t="s">
        <v>91</v>
      </c>
      <c r="B338" s="12">
        <v>62</v>
      </c>
      <c r="C338" s="10">
        <v>2368.5</v>
      </c>
      <c r="D338" s="11"/>
      <c r="E338" s="12"/>
      <c r="F338" s="13"/>
    </row>
    <row r="339" spans="1:6">
      <c r="A339" s="21" t="s">
        <v>91</v>
      </c>
      <c r="B339" s="12">
        <v>63</v>
      </c>
      <c r="C339" s="13">
        <v>1699.3</v>
      </c>
      <c r="D339" s="11"/>
      <c r="E339" s="12"/>
      <c r="F339" s="13"/>
    </row>
    <row r="340" spans="1:6">
      <c r="A340" s="21" t="s">
        <v>91</v>
      </c>
      <c r="B340" s="12">
        <v>64</v>
      </c>
      <c r="C340" s="13">
        <v>633.73</v>
      </c>
      <c r="D340" s="11"/>
      <c r="E340" s="12"/>
      <c r="F340" s="13"/>
    </row>
    <row r="341" spans="1:6">
      <c r="A341" s="21" t="s">
        <v>91</v>
      </c>
      <c r="B341" s="12">
        <v>65</v>
      </c>
      <c r="C341" s="13">
        <v>1829.91</v>
      </c>
      <c r="D341" s="11"/>
      <c r="E341" s="12"/>
      <c r="F341" s="13"/>
    </row>
    <row r="342" spans="1:6">
      <c r="A342" s="21">
        <v>42613</v>
      </c>
      <c r="B342" s="12">
        <v>72</v>
      </c>
      <c r="C342" s="13">
        <v>4123</v>
      </c>
      <c r="D342" s="11"/>
      <c r="E342" s="12"/>
      <c r="F342" s="13"/>
    </row>
    <row r="343" spans="1:6">
      <c r="A343" s="21">
        <v>42646</v>
      </c>
      <c r="B343" s="12">
        <v>80</v>
      </c>
      <c r="C343" s="10">
        <v>601.35</v>
      </c>
      <c r="D343" s="11"/>
      <c r="E343" s="12"/>
      <c r="F343" s="13"/>
    </row>
    <row r="344" spans="1:6">
      <c r="A344" s="29">
        <v>42713</v>
      </c>
      <c r="B344" s="12">
        <v>92</v>
      </c>
      <c r="C344" s="13">
        <v>487.37</v>
      </c>
      <c r="D344" s="11"/>
      <c r="E344" s="12"/>
      <c r="F344" s="13"/>
    </row>
    <row r="345" spans="1:6">
      <c r="A345" s="29" t="s">
        <v>91</v>
      </c>
      <c r="B345" s="12">
        <v>93</v>
      </c>
      <c r="C345" s="13">
        <v>553.34</v>
      </c>
      <c r="D345" s="11"/>
      <c r="E345" s="12"/>
      <c r="F345" s="13"/>
    </row>
    <row r="346" spans="1:6">
      <c r="A346" s="29" t="s">
        <v>91</v>
      </c>
      <c r="B346" s="12">
        <v>94</v>
      </c>
      <c r="C346" s="13">
        <v>525.71</v>
      </c>
      <c r="D346" s="11"/>
      <c r="E346" s="12"/>
      <c r="F346" s="13"/>
    </row>
    <row r="347" spans="1:6">
      <c r="A347" s="29" t="s">
        <v>91</v>
      </c>
      <c r="B347" s="12">
        <v>97</v>
      </c>
      <c r="C347" s="13">
        <v>1067.67</v>
      </c>
      <c r="D347" s="11"/>
      <c r="E347" s="12"/>
      <c r="F347" s="13"/>
    </row>
    <row r="348" spans="1:6">
      <c r="A348" s="29" t="s">
        <v>91</v>
      </c>
      <c r="B348" s="12">
        <v>98</v>
      </c>
      <c r="C348" s="13">
        <v>1313.26</v>
      </c>
      <c r="D348" s="11"/>
      <c r="E348" s="12"/>
      <c r="F348" s="13"/>
    </row>
    <row r="349" spans="1:6">
      <c r="A349" s="29" t="s">
        <v>91</v>
      </c>
      <c r="B349" s="12">
        <v>99</v>
      </c>
      <c r="C349" s="13">
        <v>1352.02</v>
      </c>
      <c r="D349" s="11"/>
      <c r="E349" s="12"/>
      <c r="F349" s="13"/>
    </row>
    <row r="350" spans="1:6">
      <c r="A350" s="29"/>
      <c r="B350" s="12"/>
      <c r="C350" s="13"/>
      <c r="D350" s="11"/>
      <c r="E350" s="12"/>
      <c r="F350" s="13"/>
    </row>
    <row r="351" spans="1:6">
      <c r="A351" s="29"/>
      <c r="B351" s="12"/>
      <c r="C351" s="13"/>
      <c r="D351" s="11"/>
      <c r="E351" s="12"/>
      <c r="F351" s="13"/>
    </row>
    <row r="352" spans="1:6">
      <c r="A352" s="5"/>
      <c r="B352" s="5"/>
      <c r="C352" s="15"/>
      <c r="D352" s="16"/>
      <c r="E352" s="5"/>
      <c r="F352" s="15"/>
    </row>
    <row r="353" spans="1:6">
      <c r="A353" s="14"/>
      <c r="B353" s="14"/>
      <c r="C353" s="10">
        <f>SUM(C335:C352)</f>
        <v>19409.490000000002</v>
      </c>
      <c r="D353" s="11"/>
      <c r="E353" s="12"/>
      <c r="F353" s="10">
        <f>SUM(F335:F352)</f>
        <v>0</v>
      </c>
    </row>
    <row r="354" spans="1:6">
      <c r="A354" s="5"/>
      <c r="B354" s="5"/>
      <c r="C354" s="15"/>
      <c r="D354" s="16"/>
      <c r="E354" s="5"/>
      <c r="F354" s="15"/>
    </row>
    <row r="355" spans="1:6">
      <c r="D355" s="17"/>
    </row>
    <row r="356" spans="1:6">
      <c r="C356" s="23">
        <f>+C353-F353</f>
        <v>19409.490000000002</v>
      </c>
      <c r="D356" s="17"/>
    </row>
    <row r="357" spans="1:6">
      <c r="D357" s="17"/>
    </row>
    <row r="361" spans="1:6">
      <c r="A361" s="236" t="s">
        <v>43</v>
      </c>
      <c r="B361" s="236"/>
      <c r="C361" s="236"/>
      <c r="D361" s="236"/>
      <c r="E361" s="236"/>
      <c r="F361" s="236"/>
    </row>
    <row r="362" spans="1:6">
      <c r="A362" s="6"/>
      <c r="B362" s="6"/>
      <c r="C362" s="7"/>
      <c r="D362" s="8"/>
      <c r="E362" s="9"/>
      <c r="F362" s="7"/>
    </row>
    <row r="363" spans="1:6">
      <c r="A363" s="26" t="s">
        <v>90</v>
      </c>
      <c r="B363" s="6"/>
      <c r="C363" s="10">
        <v>0</v>
      </c>
      <c r="D363" s="11"/>
      <c r="E363" s="12"/>
      <c r="F363" s="13"/>
    </row>
    <row r="364" spans="1:6">
      <c r="A364" s="29">
        <v>42735</v>
      </c>
      <c r="B364" s="12">
        <v>106</v>
      </c>
      <c r="C364" s="10">
        <v>25872</v>
      </c>
      <c r="D364" s="11"/>
      <c r="E364" s="12"/>
      <c r="F364" s="13"/>
    </row>
    <row r="365" spans="1:6">
      <c r="A365" s="21" t="s">
        <v>91</v>
      </c>
      <c r="B365" s="12">
        <v>109</v>
      </c>
      <c r="C365" s="13">
        <v>40000</v>
      </c>
      <c r="D365" s="11"/>
      <c r="E365" s="12"/>
      <c r="F365" s="13"/>
    </row>
    <row r="366" spans="1:6">
      <c r="A366" s="21"/>
      <c r="B366" s="12"/>
      <c r="C366" s="13"/>
      <c r="D366" s="11"/>
      <c r="E366" s="12"/>
      <c r="F366" s="13"/>
    </row>
    <row r="367" spans="1:6">
      <c r="A367" s="21"/>
      <c r="B367" s="12"/>
      <c r="C367" s="13"/>
      <c r="D367" s="11"/>
      <c r="E367" s="12"/>
      <c r="F367" s="13"/>
    </row>
    <row r="368" spans="1:6">
      <c r="A368" s="21"/>
      <c r="B368" s="12"/>
      <c r="C368" s="13"/>
      <c r="D368" s="11"/>
      <c r="E368" s="12"/>
      <c r="F368" s="13"/>
    </row>
    <row r="369" spans="1:6">
      <c r="A369" s="29"/>
      <c r="B369" s="12"/>
      <c r="C369" s="13"/>
      <c r="D369" s="11"/>
      <c r="E369" s="12"/>
      <c r="F369" s="13"/>
    </row>
    <row r="370" spans="1:6">
      <c r="A370" s="29"/>
      <c r="B370" s="12"/>
      <c r="C370" s="13"/>
      <c r="D370" s="11"/>
      <c r="E370" s="12"/>
      <c r="F370" s="13"/>
    </row>
    <row r="371" spans="1:6">
      <c r="A371" s="21"/>
      <c r="B371" s="12"/>
      <c r="C371" s="13"/>
      <c r="D371" s="11"/>
      <c r="E371" s="12"/>
      <c r="F371" s="13"/>
    </row>
    <row r="372" spans="1:6">
      <c r="A372" s="29"/>
      <c r="B372" s="12"/>
      <c r="C372" s="13"/>
      <c r="D372" s="11"/>
      <c r="E372" s="12"/>
      <c r="F372" s="13"/>
    </row>
    <row r="373" spans="1:6">
      <c r="A373" s="29"/>
      <c r="B373" s="12"/>
      <c r="C373" s="13"/>
      <c r="D373" s="11"/>
      <c r="E373" s="12"/>
      <c r="F373" s="13"/>
    </row>
    <row r="374" spans="1:6">
      <c r="A374" s="21"/>
      <c r="B374" s="14"/>
      <c r="C374" s="13"/>
      <c r="D374" s="11"/>
      <c r="E374" s="12"/>
      <c r="F374" s="13"/>
    </row>
    <row r="375" spans="1:6">
      <c r="A375" s="29"/>
      <c r="B375" s="12"/>
      <c r="C375" s="13"/>
      <c r="D375" s="11"/>
      <c r="E375" s="12"/>
      <c r="F375" s="13"/>
    </row>
    <row r="376" spans="1:6">
      <c r="A376" s="29"/>
      <c r="B376" s="14"/>
      <c r="C376" s="10"/>
      <c r="D376" s="11"/>
      <c r="E376" s="12"/>
      <c r="F376" s="13"/>
    </row>
    <row r="377" spans="1:6">
      <c r="A377" s="29"/>
      <c r="B377" s="14"/>
      <c r="C377" s="10"/>
      <c r="D377" s="11"/>
      <c r="E377" s="12"/>
      <c r="F377" s="13"/>
    </row>
    <row r="378" spans="1:6">
      <c r="A378" s="29"/>
      <c r="B378" s="14"/>
      <c r="C378" s="10"/>
      <c r="D378" s="11"/>
      <c r="E378" s="12"/>
      <c r="F378" s="13"/>
    </row>
    <row r="379" spans="1:6">
      <c r="A379" s="29"/>
      <c r="B379" s="14"/>
      <c r="C379" s="10"/>
      <c r="D379" s="11"/>
      <c r="E379" s="12"/>
      <c r="F379" s="13"/>
    </row>
    <row r="380" spans="1:6">
      <c r="A380" s="29"/>
      <c r="B380" s="14"/>
      <c r="C380" s="10"/>
      <c r="D380" s="11"/>
      <c r="E380" s="12"/>
      <c r="F380" s="13"/>
    </row>
    <row r="381" spans="1:6">
      <c r="A381" s="29"/>
      <c r="B381" s="14"/>
      <c r="C381" s="10"/>
      <c r="D381" s="11"/>
      <c r="E381" s="12"/>
      <c r="F381" s="13"/>
    </row>
    <row r="382" spans="1:6">
      <c r="A382" s="29"/>
      <c r="B382" s="14"/>
      <c r="C382" s="10"/>
      <c r="D382" s="11"/>
      <c r="E382" s="12"/>
      <c r="F382" s="13"/>
    </row>
    <row r="383" spans="1:6">
      <c r="A383" s="29"/>
      <c r="B383" s="14"/>
      <c r="C383" s="10"/>
      <c r="D383" s="11"/>
      <c r="E383" s="12"/>
      <c r="F383" s="13"/>
    </row>
    <row r="384" spans="1:6">
      <c r="A384" s="29"/>
      <c r="B384" s="14"/>
      <c r="C384" s="10"/>
      <c r="D384" s="11"/>
      <c r="E384" s="12"/>
      <c r="F384" s="13"/>
    </row>
    <row r="385" spans="1:6">
      <c r="A385" s="29"/>
      <c r="B385" s="14"/>
      <c r="C385" s="10"/>
      <c r="D385" s="11"/>
      <c r="E385" s="12"/>
      <c r="F385" s="13"/>
    </row>
    <row r="386" spans="1:6">
      <c r="A386" s="29"/>
      <c r="B386" s="14"/>
      <c r="C386" s="10"/>
      <c r="D386" s="11"/>
      <c r="E386" s="12"/>
      <c r="F386" s="13"/>
    </row>
    <row r="387" spans="1:6">
      <c r="A387" s="29"/>
      <c r="B387" s="14"/>
      <c r="C387" s="10"/>
      <c r="D387" s="11"/>
      <c r="E387" s="12"/>
      <c r="F387" s="13"/>
    </row>
    <row r="388" spans="1:6">
      <c r="A388" s="29"/>
      <c r="B388" s="14"/>
      <c r="C388" s="10"/>
      <c r="D388" s="11"/>
      <c r="E388" s="12"/>
      <c r="F388" s="13"/>
    </row>
    <row r="389" spans="1:6">
      <c r="A389" s="29"/>
      <c r="B389" s="14"/>
      <c r="C389" s="10"/>
      <c r="D389" s="11"/>
      <c r="E389" s="12"/>
      <c r="F389" s="13"/>
    </row>
    <row r="390" spans="1:6">
      <c r="A390" s="5"/>
      <c r="B390" s="5"/>
      <c r="C390" s="15"/>
      <c r="D390" s="16"/>
      <c r="E390" s="5"/>
      <c r="F390" s="15"/>
    </row>
    <row r="391" spans="1:6">
      <c r="A391" s="14"/>
      <c r="B391" s="14"/>
      <c r="C391" s="10">
        <f>SUM(C363:C390)</f>
        <v>65872</v>
      </c>
      <c r="D391" s="11"/>
      <c r="E391" s="12"/>
      <c r="F391" s="10">
        <f>SUM(F363:F390)</f>
        <v>0</v>
      </c>
    </row>
    <row r="392" spans="1:6">
      <c r="A392" s="5"/>
      <c r="B392" s="5"/>
      <c r="C392" s="15"/>
      <c r="D392" s="16"/>
      <c r="E392" s="5"/>
      <c r="F392" s="15"/>
    </row>
    <row r="393" spans="1:6">
      <c r="D393" s="17"/>
    </row>
    <row r="394" spans="1:6">
      <c r="C394" s="23">
        <f>+C391-F391</f>
        <v>65872</v>
      </c>
      <c r="D394" s="17"/>
    </row>
    <row r="395" spans="1:6">
      <c r="D395" s="17"/>
    </row>
    <row r="398" spans="1:6">
      <c r="A398" s="236" t="s">
        <v>44</v>
      </c>
      <c r="B398" s="236"/>
      <c r="C398" s="236"/>
      <c r="D398" s="236"/>
      <c r="E398" s="236"/>
      <c r="F398" s="236"/>
    </row>
    <row r="399" spans="1:6">
      <c r="A399" s="6"/>
      <c r="B399" s="6"/>
      <c r="C399" s="7"/>
      <c r="D399" s="8"/>
      <c r="E399" s="9"/>
      <c r="F399" s="7"/>
    </row>
    <row r="400" spans="1:6">
      <c r="A400" s="26" t="s">
        <v>90</v>
      </c>
      <c r="B400" s="6"/>
      <c r="C400" s="10">
        <f>L55</f>
        <v>0</v>
      </c>
      <c r="D400" s="11"/>
      <c r="E400" s="12"/>
      <c r="F400" s="13"/>
    </row>
    <row r="401" spans="1:6">
      <c r="A401" s="21"/>
      <c r="B401" s="12"/>
      <c r="C401" s="13"/>
      <c r="D401" s="11"/>
      <c r="E401" s="12"/>
      <c r="F401" s="13"/>
    </row>
    <row r="402" spans="1:6">
      <c r="A402" s="21"/>
      <c r="B402" s="12"/>
      <c r="C402" s="13"/>
      <c r="D402" s="11"/>
      <c r="E402" s="12"/>
      <c r="F402" s="13"/>
    </row>
    <row r="403" spans="1:6">
      <c r="A403" s="21"/>
      <c r="B403" s="12"/>
      <c r="C403" s="13"/>
      <c r="D403" s="11"/>
      <c r="E403" s="12"/>
      <c r="F403" s="13"/>
    </row>
    <row r="404" spans="1:6">
      <c r="A404" s="21"/>
      <c r="B404" s="12"/>
      <c r="C404" s="13"/>
      <c r="D404" s="11"/>
      <c r="E404" s="12"/>
      <c r="F404" s="13"/>
    </row>
    <row r="405" spans="1:6">
      <c r="A405" s="21"/>
      <c r="B405" s="12"/>
      <c r="C405" s="13"/>
      <c r="D405" s="11"/>
      <c r="E405" s="12"/>
      <c r="F405" s="13"/>
    </row>
    <row r="406" spans="1:6">
      <c r="A406" s="21"/>
      <c r="B406" s="12"/>
      <c r="C406" s="13"/>
      <c r="D406" s="11"/>
      <c r="E406" s="12"/>
      <c r="F406" s="13"/>
    </row>
    <row r="407" spans="1:6">
      <c r="A407" s="29"/>
      <c r="B407" s="12"/>
      <c r="C407" s="13"/>
      <c r="D407" s="11"/>
      <c r="E407" s="12"/>
      <c r="F407" s="13"/>
    </row>
    <row r="408" spans="1:6">
      <c r="A408" s="29"/>
      <c r="B408" s="12"/>
      <c r="C408" s="13"/>
      <c r="D408" s="11"/>
      <c r="E408" s="12"/>
      <c r="F408" s="13"/>
    </row>
    <row r="409" spans="1:6">
      <c r="A409" s="21"/>
      <c r="B409" s="14"/>
      <c r="C409" s="13"/>
      <c r="D409" s="11"/>
      <c r="E409" s="12"/>
      <c r="F409" s="13"/>
    </row>
    <row r="410" spans="1:6">
      <c r="A410" s="29"/>
      <c r="B410" s="12"/>
      <c r="C410" s="13"/>
      <c r="D410" s="11"/>
      <c r="E410" s="12"/>
      <c r="F410" s="13"/>
    </row>
    <row r="411" spans="1:6">
      <c r="A411" s="29"/>
      <c r="B411" s="12"/>
      <c r="C411" s="13"/>
      <c r="D411" s="11"/>
      <c r="E411" s="12"/>
      <c r="F411" s="13"/>
    </row>
    <row r="412" spans="1:6">
      <c r="A412" s="29"/>
      <c r="B412" s="12"/>
      <c r="C412" s="13"/>
      <c r="D412" s="11"/>
      <c r="E412" s="12"/>
      <c r="F412" s="13"/>
    </row>
    <row r="413" spans="1:6">
      <c r="A413" s="29"/>
      <c r="B413" s="12"/>
      <c r="C413" s="13"/>
      <c r="D413" s="11"/>
      <c r="E413" s="12"/>
      <c r="F413" s="13"/>
    </row>
    <row r="414" spans="1:6">
      <c r="A414" s="29"/>
      <c r="B414" s="12"/>
      <c r="C414" s="13"/>
      <c r="D414" s="11"/>
      <c r="E414" s="12"/>
      <c r="F414" s="13"/>
    </row>
    <row r="415" spans="1:6">
      <c r="A415" s="29"/>
      <c r="B415" s="12"/>
      <c r="C415" s="13"/>
      <c r="D415" s="11"/>
      <c r="E415" s="12"/>
      <c r="F415" s="13"/>
    </row>
    <row r="416" spans="1:6">
      <c r="A416" s="29"/>
      <c r="B416" s="12"/>
      <c r="C416" s="13"/>
      <c r="D416" s="11"/>
      <c r="E416" s="12"/>
      <c r="F416" s="13"/>
    </row>
    <row r="417" spans="1:10">
      <c r="A417" s="5"/>
      <c r="B417" s="5"/>
      <c r="C417" s="15"/>
      <c r="D417" s="16"/>
      <c r="E417" s="5"/>
      <c r="F417" s="15"/>
    </row>
    <row r="418" spans="1:10">
      <c r="A418" s="14"/>
      <c r="B418" s="14"/>
      <c r="C418" s="10">
        <f>SUM(C400:C417)</f>
        <v>0</v>
      </c>
      <c r="D418" s="11"/>
      <c r="E418" s="12"/>
      <c r="F418" s="10">
        <f>SUM(F400:F417)</f>
        <v>0</v>
      </c>
    </row>
    <row r="419" spans="1:10">
      <c r="A419" s="5"/>
      <c r="B419" s="5"/>
      <c r="C419" s="15"/>
      <c r="D419" s="16"/>
      <c r="E419" s="5"/>
      <c r="F419" s="15"/>
    </row>
    <row r="420" spans="1:10">
      <c r="D420" s="17"/>
    </row>
    <row r="421" spans="1:10">
      <c r="C421" s="23">
        <f>+C418-F418</f>
        <v>0</v>
      </c>
      <c r="D421" s="17"/>
    </row>
    <row r="422" spans="1:10">
      <c r="D422" s="17"/>
    </row>
    <row r="424" spans="1:10">
      <c r="H424" s="22"/>
      <c r="I424" s="12"/>
      <c r="J424" s="10"/>
    </row>
    <row r="425" spans="1:10">
      <c r="A425" s="236" t="s">
        <v>96</v>
      </c>
      <c r="B425" s="236"/>
      <c r="C425" s="236"/>
      <c r="D425" s="236"/>
      <c r="E425" s="236"/>
      <c r="F425" s="236"/>
    </row>
    <row r="426" spans="1:10">
      <c r="A426" s="6"/>
      <c r="B426" s="6"/>
      <c r="C426" s="7"/>
      <c r="D426" s="8"/>
      <c r="E426" s="9"/>
      <c r="F426" s="7"/>
    </row>
    <row r="427" spans="1:10">
      <c r="A427" s="26" t="s">
        <v>90</v>
      </c>
      <c r="B427" s="6"/>
      <c r="C427" s="10">
        <f>L73</f>
        <v>0</v>
      </c>
      <c r="D427" s="11"/>
      <c r="E427" s="12"/>
      <c r="F427" s="13"/>
    </row>
    <row r="428" spans="1:10">
      <c r="A428" s="22">
        <v>42505</v>
      </c>
      <c r="B428" s="12">
        <v>29</v>
      </c>
      <c r="C428" s="10">
        <v>1500</v>
      </c>
      <c r="D428" s="11"/>
      <c r="E428" s="12"/>
      <c r="F428" s="13"/>
    </row>
    <row r="429" spans="1:10">
      <c r="A429" s="21"/>
      <c r="B429" s="12"/>
      <c r="C429" s="13"/>
      <c r="D429" s="11"/>
      <c r="E429" s="12"/>
      <c r="F429" s="13"/>
    </row>
    <row r="430" spans="1:10">
      <c r="A430" s="21"/>
      <c r="B430" s="12"/>
      <c r="C430" s="13"/>
      <c r="D430" s="11"/>
      <c r="E430" s="12"/>
      <c r="F430" s="13"/>
    </row>
    <row r="431" spans="1:10">
      <c r="A431" s="29"/>
      <c r="B431" s="12"/>
      <c r="C431" s="13"/>
      <c r="D431" s="11"/>
      <c r="E431" s="12"/>
      <c r="F431" s="13"/>
    </row>
    <row r="432" spans="1:10">
      <c r="A432" s="29"/>
      <c r="B432" s="12"/>
      <c r="C432" s="13"/>
      <c r="D432" s="11"/>
      <c r="E432" s="12"/>
      <c r="F432" s="13"/>
    </row>
    <row r="433" spans="1:6">
      <c r="A433" s="29"/>
      <c r="B433" s="12"/>
      <c r="C433" s="13"/>
      <c r="D433" s="11"/>
      <c r="E433" s="12"/>
      <c r="F433" s="13"/>
    </row>
    <row r="434" spans="1:6">
      <c r="A434" s="29"/>
      <c r="B434" s="12"/>
      <c r="C434" s="13"/>
      <c r="D434" s="11"/>
      <c r="E434" s="12"/>
      <c r="F434" s="13"/>
    </row>
    <row r="435" spans="1:6">
      <c r="A435" s="29"/>
      <c r="B435" s="12"/>
      <c r="C435" s="13"/>
      <c r="D435" s="11"/>
      <c r="E435" s="12"/>
      <c r="F435" s="13"/>
    </row>
    <row r="436" spans="1:6">
      <c r="A436" s="29"/>
      <c r="B436" s="12"/>
      <c r="C436" s="13"/>
      <c r="D436" s="11"/>
      <c r="E436" s="12"/>
      <c r="F436" s="13"/>
    </row>
    <row r="437" spans="1:6">
      <c r="A437" s="29"/>
      <c r="B437" s="12"/>
      <c r="C437" s="13"/>
      <c r="D437" s="11"/>
      <c r="E437" s="12"/>
      <c r="F437" s="13"/>
    </row>
    <row r="438" spans="1:6">
      <c r="A438" s="29"/>
      <c r="B438" s="12"/>
      <c r="C438" s="13"/>
      <c r="D438" s="11"/>
      <c r="E438" s="12"/>
      <c r="F438" s="13"/>
    </row>
    <row r="439" spans="1:6">
      <c r="A439" s="5"/>
      <c r="B439" s="5"/>
      <c r="C439" s="15"/>
      <c r="D439" s="16"/>
      <c r="E439" s="5"/>
      <c r="F439" s="15"/>
    </row>
    <row r="440" spans="1:6">
      <c r="A440" s="14"/>
      <c r="B440" s="14"/>
      <c r="C440" s="10">
        <f>SUM(C427:C439)</f>
        <v>1500</v>
      </c>
      <c r="D440" s="11"/>
      <c r="E440" s="12"/>
      <c r="F440" s="10">
        <f>SUM(F427:F439)</f>
        <v>0</v>
      </c>
    </row>
    <row r="441" spans="1:6">
      <c r="A441" s="5"/>
      <c r="B441" s="5"/>
      <c r="C441" s="15"/>
      <c r="D441" s="16"/>
      <c r="E441" s="5"/>
      <c r="F441" s="15"/>
    </row>
    <row r="442" spans="1:6">
      <c r="D442" s="17"/>
    </row>
    <row r="443" spans="1:6">
      <c r="C443" s="23">
        <f>+C440-F440</f>
        <v>1500</v>
      </c>
      <c r="D443" s="17"/>
    </row>
    <row r="444" spans="1:6">
      <c r="D444" s="17"/>
    </row>
    <row r="447" spans="1:6">
      <c r="A447" s="236" t="s">
        <v>97</v>
      </c>
      <c r="B447" s="236"/>
      <c r="C447" s="236"/>
      <c r="D447" s="236"/>
      <c r="E447" s="236"/>
      <c r="F447" s="236"/>
    </row>
    <row r="448" spans="1:6">
      <c r="A448" s="6"/>
      <c r="B448" s="6"/>
      <c r="C448" s="7"/>
      <c r="D448" s="8"/>
      <c r="E448" s="9"/>
      <c r="F448" s="7"/>
    </row>
    <row r="449" spans="1:6">
      <c r="A449" s="26" t="s">
        <v>90</v>
      </c>
      <c r="B449" s="6"/>
      <c r="C449" s="10">
        <f>L103</f>
        <v>0</v>
      </c>
      <c r="D449" s="11"/>
      <c r="E449" s="12"/>
      <c r="F449" s="13"/>
    </row>
    <row r="450" spans="1:6">
      <c r="A450" s="22"/>
      <c r="B450" s="12"/>
      <c r="C450" s="10"/>
      <c r="D450" s="11"/>
      <c r="E450" s="12"/>
      <c r="F450" s="13"/>
    </row>
    <row r="451" spans="1:6">
      <c r="A451" s="21"/>
      <c r="B451" s="12"/>
      <c r="C451" s="13"/>
      <c r="D451" s="11"/>
      <c r="E451" s="12"/>
      <c r="F451" s="13"/>
    </row>
    <row r="452" spans="1:6">
      <c r="A452" s="21"/>
      <c r="B452" s="12"/>
      <c r="C452" s="13"/>
      <c r="D452" s="11"/>
      <c r="E452" s="12"/>
      <c r="F452" s="13"/>
    </row>
    <row r="453" spans="1:6">
      <c r="A453" s="29"/>
      <c r="B453" s="12"/>
      <c r="C453" s="13"/>
      <c r="D453" s="11"/>
      <c r="E453" s="12"/>
      <c r="F453" s="13"/>
    </row>
    <row r="454" spans="1:6">
      <c r="A454" s="5"/>
      <c r="B454" s="5"/>
      <c r="C454" s="15"/>
      <c r="D454" s="16"/>
      <c r="E454" s="5"/>
      <c r="F454" s="15"/>
    </row>
    <row r="455" spans="1:6">
      <c r="A455" s="14"/>
      <c r="B455" s="14"/>
      <c r="C455" s="10">
        <f>SUM(C449:C454)</f>
        <v>0</v>
      </c>
      <c r="D455" s="11"/>
      <c r="E455" s="12"/>
      <c r="F455" s="10">
        <f>SUM(F449:F454)</f>
        <v>0</v>
      </c>
    </row>
    <row r="456" spans="1:6">
      <c r="A456" s="5"/>
      <c r="B456" s="5"/>
      <c r="C456" s="15"/>
      <c r="D456" s="16"/>
      <c r="E456" s="5"/>
      <c r="F456" s="15"/>
    </row>
    <row r="457" spans="1:6">
      <c r="D457" s="17"/>
    </row>
    <row r="458" spans="1:6">
      <c r="C458" s="23">
        <f>+C455-F455</f>
        <v>0</v>
      </c>
      <c r="D458" s="17"/>
    </row>
    <row r="459" spans="1:6">
      <c r="D459" s="17"/>
    </row>
    <row r="461" spans="1:6">
      <c r="A461" s="236" t="s">
        <v>45</v>
      </c>
      <c r="B461" s="236"/>
      <c r="C461" s="236"/>
      <c r="D461" s="236"/>
      <c r="E461" s="236"/>
      <c r="F461" s="236"/>
    </row>
    <row r="462" spans="1:6">
      <c r="A462" s="6"/>
      <c r="B462" s="6"/>
      <c r="C462" s="7"/>
      <c r="D462" s="8"/>
      <c r="E462" s="9"/>
      <c r="F462" s="7"/>
    </row>
    <row r="463" spans="1:6">
      <c r="A463" s="26" t="s">
        <v>90</v>
      </c>
      <c r="B463" s="6"/>
      <c r="C463" s="10">
        <f>L124</f>
        <v>0</v>
      </c>
      <c r="D463" s="11"/>
      <c r="E463" s="12"/>
      <c r="F463" s="13"/>
    </row>
    <row r="464" spans="1:6">
      <c r="A464" s="22"/>
      <c r="B464" s="12"/>
      <c r="C464" s="10"/>
      <c r="D464" s="11"/>
      <c r="E464" s="12"/>
      <c r="F464" s="13"/>
    </row>
    <row r="465" spans="1:6">
      <c r="A465" s="21"/>
      <c r="B465" s="12"/>
      <c r="C465" s="13"/>
      <c r="D465" s="11"/>
      <c r="E465" s="12"/>
      <c r="F465" s="13"/>
    </row>
    <row r="466" spans="1:6">
      <c r="A466" s="21"/>
      <c r="B466" s="12"/>
      <c r="C466" s="13"/>
      <c r="D466" s="11"/>
      <c r="E466" s="12"/>
      <c r="F466" s="13"/>
    </row>
    <row r="467" spans="1:6">
      <c r="A467" s="29"/>
      <c r="B467" s="12"/>
      <c r="C467" s="13"/>
      <c r="D467" s="11"/>
      <c r="E467" s="12"/>
      <c r="F467" s="13"/>
    </row>
    <row r="468" spans="1:6">
      <c r="A468" s="5"/>
      <c r="B468" s="5"/>
      <c r="C468" s="15"/>
      <c r="D468" s="16"/>
      <c r="E468" s="5"/>
      <c r="F468" s="15"/>
    </row>
    <row r="469" spans="1:6">
      <c r="A469" s="14"/>
      <c r="B469" s="14"/>
      <c r="C469" s="10">
        <f>SUM(C463:C468)</f>
        <v>0</v>
      </c>
      <c r="D469" s="11"/>
      <c r="E469" s="12"/>
      <c r="F469" s="10">
        <f>SUM(F463:F468)</f>
        <v>0</v>
      </c>
    </row>
    <row r="470" spans="1:6">
      <c r="A470" s="5"/>
      <c r="B470" s="5"/>
      <c r="C470" s="15"/>
      <c r="D470" s="16"/>
      <c r="E470" s="5"/>
      <c r="F470" s="15"/>
    </row>
    <row r="471" spans="1:6">
      <c r="D471" s="17"/>
    </row>
    <row r="472" spans="1:6">
      <c r="C472" s="23">
        <f>+C469-F469</f>
        <v>0</v>
      </c>
      <c r="D472" s="17"/>
    </row>
    <row r="473" spans="1:6">
      <c r="D473" s="17"/>
    </row>
  </sheetData>
  <mergeCells count="22">
    <mergeCell ref="A447:F447"/>
    <mergeCell ref="A461:F461"/>
    <mergeCell ref="A295:F295"/>
    <mergeCell ref="A333:F333"/>
    <mergeCell ref="A361:F361"/>
    <mergeCell ref="A398:F398"/>
    <mergeCell ref="A425:F425"/>
    <mergeCell ref="A169:F169"/>
    <mergeCell ref="H169:M169"/>
    <mergeCell ref="A200:F200"/>
    <mergeCell ref="A237:F237"/>
    <mergeCell ref="A266:F266"/>
    <mergeCell ref="H97:M97"/>
    <mergeCell ref="A125:F125"/>
    <mergeCell ref="H125:M125"/>
    <mergeCell ref="A148:F148"/>
    <mergeCell ref="H148:M148"/>
    <mergeCell ref="A3:F3"/>
    <mergeCell ref="A36:F36"/>
    <mergeCell ref="A53:F53"/>
    <mergeCell ref="A66:F66"/>
    <mergeCell ref="A97:F97"/>
  </mergeCells>
  <pageMargins left="0.69930555555555596" right="0.69930555555555596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>
      <selection activeCell="G20" sqref="G20"/>
    </sheetView>
  </sheetViews>
  <sheetFormatPr defaultColWidth="9" defaultRowHeight="15"/>
  <cols>
    <col min="1" max="1" width="11.5703125" customWidth="1"/>
    <col min="2" max="2" width="10.85546875" customWidth="1"/>
    <col min="3" max="3" width="16.5703125" style="4" customWidth="1"/>
    <col min="5" max="5" width="13.7109375" customWidth="1"/>
    <col min="6" max="6" width="17.42578125" style="4" customWidth="1"/>
  </cols>
  <sheetData>
    <row r="1" spans="1:6">
      <c r="A1" t="s">
        <v>5</v>
      </c>
    </row>
    <row r="3" spans="1:6">
      <c r="A3" s="236" t="str">
        <f>[2]trb!$A$24</f>
        <v>EG, Capital</v>
      </c>
      <c r="B3" s="236"/>
      <c r="C3" s="236"/>
      <c r="D3" s="236"/>
      <c r="E3" s="236"/>
      <c r="F3" s="236"/>
    </row>
    <row r="4" spans="1:6">
      <c r="A4" s="6"/>
      <c r="B4" s="6"/>
      <c r="C4" s="7"/>
      <c r="D4" s="8"/>
      <c r="E4" s="9"/>
      <c r="F4" s="7"/>
    </row>
    <row r="5" spans="1:6">
      <c r="A5" s="6"/>
      <c r="B5" s="6"/>
      <c r="C5" s="10"/>
      <c r="D5" s="11"/>
      <c r="E5" s="12"/>
      <c r="F5" s="13">
        <v>1200000</v>
      </c>
    </row>
    <row r="6" spans="1:6">
      <c r="A6" s="14"/>
      <c r="B6" s="14"/>
      <c r="C6" s="10"/>
      <c r="D6" s="11"/>
      <c r="E6" s="12"/>
      <c r="F6" s="13"/>
    </row>
    <row r="7" spans="1:6">
      <c r="A7" s="14"/>
      <c r="B7" s="14"/>
      <c r="C7" s="10"/>
      <c r="D7" s="11"/>
      <c r="E7" s="12"/>
      <c r="F7" s="13"/>
    </row>
    <row r="8" spans="1:6">
      <c r="A8" s="14"/>
      <c r="B8" s="14"/>
      <c r="C8" s="10"/>
      <c r="D8" s="11"/>
      <c r="E8" s="12"/>
      <c r="F8" s="13"/>
    </row>
    <row r="9" spans="1:6">
      <c r="A9" s="14"/>
      <c r="B9" s="14"/>
      <c r="C9" s="10"/>
      <c r="D9" s="11"/>
      <c r="E9" s="12"/>
      <c r="F9" s="13"/>
    </row>
    <row r="10" spans="1:6">
      <c r="A10" s="14"/>
      <c r="B10" s="14"/>
      <c r="C10" s="10"/>
      <c r="D10" s="11"/>
      <c r="E10" s="12"/>
      <c r="F10" s="13"/>
    </row>
    <row r="11" spans="1:6">
      <c r="A11" s="14"/>
      <c r="B11" s="14"/>
      <c r="C11" s="10"/>
      <c r="D11" s="11"/>
      <c r="E11" s="12"/>
      <c r="F11" s="13"/>
    </row>
    <row r="12" spans="1:6">
      <c r="A12" s="14"/>
      <c r="B12" s="14"/>
      <c r="C12" s="10"/>
      <c r="D12" s="11"/>
      <c r="E12" s="12"/>
      <c r="F12" s="13"/>
    </row>
    <row r="13" spans="1:6">
      <c r="A13" s="14"/>
      <c r="B13" s="14"/>
      <c r="C13" s="10"/>
      <c r="D13" s="11"/>
      <c r="E13" s="12"/>
      <c r="F13" s="13"/>
    </row>
    <row r="14" spans="1:6">
      <c r="A14" s="5"/>
      <c r="B14" s="5"/>
      <c r="C14" s="15"/>
      <c r="D14" s="16"/>
      <c r="E14" s="5"/>
      <c r="F14" s="15"/>
    </row>
    <row r="15" spans="1:6">
      <c r="A15" s="14"/>
      <c r="B15" s="14"/>
      <c r="C15" s="10">
        <f>SUM(C5:C14)</f>
        <v>0</v>
      </c>
      <c r="D15" s="11"/>
      <c r="E15" s="12"/>
      <c r="F15" s="10">
        <f>SUM(F5:F14)</f>
        <v>1200000</v>
      </c>
    </row>
    <row r="16" spans="1:6">
      <c r="A16" s="5"/>
      <c r="B16" s="5"/>
      <c r="C16" s="15"/>
      <c r="D16" s="16"/>
      <c r="E16" s="5"/>
      <c r="F16" s="15"/>
    </row>
    <row r="17" spans="1:6">
      <c r="D17" s="17"/>
    </row>
    <row r="18" spans="1:6">
      <c r="C18" s="18"/>
      <c r="D18" s="19"/>
      <c r="F18" s="20">
        <f>+F15-C15</f>
        <v>1200000</v>
      </c>
    </row>
    <row r="19" spans="1:6">
      <c r="D19" s="17"/>
    </row>
    <row r="22" spans="1:6">
      <c r="A22" s="236" t="str">
        <f>[2]trb!$A$25</f>
        <v>EG, Withdrawal</v>
      </c>
      <c r="B22" s="236"/>
      <c r="C22" s="236"/>
      <c r="D22" s="236"/>
      <c r="E22" s="236"/>
      <c r="F22" s="236"/>
    </row>
    <row r="23" spans="1:6">
      <c r="A23" s="6"/>
      <c r="B23" s="6"/>
      <c r="C23" s="7"/>
      <c r="D23" s="8"/>
      <c r="E23" s="9"/>
      <c r="F23" s="7"/>
    </row>
    <row r="24" spans="1:6">
      <c r="A24" s="6"/>
      <c r="B24" s="6"/>
      <c r="C24" s="10">
        <v>740779.17</v>
      </c>
      <c r="D24" s="11"/>
      <c r="E24" s="12"/>
      <c r="F24" s="13"/>
    </row>
    <row r="25" spans="1:6">
      <c r="A25" s="21">
        <v>41729</v>
      </c>
      <c r="B25" s="14" t="s">
        <v>98</v>
      </c>
      <c r="C25" s="10">
        <v>219000</v>
      </c>
      <c r="D25" s="11"/>
      <c r="E25" s="12"/>
      <c r="F25" s="13"/>
    </row>
    <row r="26" spans="1:6">
      <c r="A26" s="22">
        <v>41786</v>
      </c>
      <c r="B26" s="14" t="s">
        <v>99</v>
      </c>
      <c r="C26" s="10">
        <v>1838</v>
      </c>
      <c r="D26" s="11"/>
      <c r="E26" s="12"/>
      <c r="F26" s="13"/>
    </row>
    <row r="27" spans="1:6">
      <c r="A27" s="22">
        <v>41946</v>
      </c>
      <c r="B27" s="14" t="s">
        <v>100</v>
      </c>
      <c r="C27" s="10">
        <v>1135.3499999999999</v>
      </c>
      <c r="D27" s="11"/>
      <c r="E27" s="12"/>
      <c r="F27" s="13"/>
    </row>
    <row r="28" spans="1:6">
      <c r="A28" s="22">
        <v>41959</v>
      </c>
      <c r="B28" s="14" t="s">
        <v>101</v>
      </c>
      <c r="C28" s="10">
        <v>1240</v>
      </c>
      <c r="D28" s="11"/>
      <c r="E28" s="12"/>
      <c r="F28" s="13"/>
    </row>
    <row r="29" spans="1:6">
      <c r="A29" s="22">
        <v>41967</v>
      </c>
      <c r="B29" s="14" t="s">
        <v>102</v>
      </c>
      <c r="C29" s="10">
        <v>1100</v>
      </c>
      <c r="D29" s="11"/>
      <c r="E29" s="12"/>
      <c r="F29" s="13"/>
    </row>
    <row r="30" spans="1:6">
      <c r="A30" s="22">
        <v>42735</v>
      </c>
      <c r="B30" s="14">
        <v>109</v>
      </c>
      <c r="C30" s="10">
        <v>245160</v>
      </c>
      <c r="D30" s="11"/>
      <c r="E30" s="12"/>
      <c r="F30" s="13"/>
    </row>
    <row r="31" spans="1:6">
      <c r="A31" s="14"/>
      <c r="B31" s="14"/>
      <c r="C31" s="10"/>
      <c r="D31" s="11"/>
      <c r="E31" s="12"/>
      <c r="F31" s="13"/>
    </row>
    <row r="32" spans="1:6">
      <c r="A32" s="14"/>
      <c r="B32" s="14"/>
      <c r="C32" s="10"/>
      <c r="D32" s="11"/>
      <c r="E32" s="12"/>
      <c r="F32" s="13"/>
    </row>
    <row r="33" spans="1:6">
      <c r="A33" s="5"/>
      <c r="B33" s="5"/>
      <c r="C33" s="15"/>
      <c r="D33" s="16"/>
      <c r="E33" s="5"/>
      <c r="F33" s="15"/>
    </row>
    <row r="34" spans="1:6">
      <c r="A34" s="14"/>
      <c r="B34" s="14"/>
      <c r="C34" s="10">
        <f>SUM(C24:C33)</f>
        <v>1210252.52</v>
      </c>
      <c r="D34" s="11"/>
      <c r="E34" s="12"/>
      <c r="F34" s="10">
        <f>SUM(F24:F33)</f>
        <v>0</v>
      </c>
    </row>
    <row r="35" spans="1:6">
      <c r="A35" s="5"/>
      <c r="B35" s="5"/>
      <c r="C35" s="15"/>
      <c r="D35" s="16"/>
      <c r="E35" s="5"/>
      <c r="F35" s="15"/>
    </row>
    <row r="36" spans="1:6">
      <c r="D36" s="17"/>
    </row>
    <row r="37" spans="1:6">
      <c r="C37" s="23">
        <f>+C34-F34</f>
        <v>1210252.52</v>
      </c>
      <c r="D37" s="19"/>
      <c r="F37" s="24"/>
    </row>
    <row r="38" spans="1:6">
      <c r="D38" s="17"/>
    </row>
    <row r="41" spans="1:6">
      <c r="A41" s="236" t="str">
        <f>[2]trb!$A$26</f>
        <v>Retained Earnings</v>
      </c>
      <c r="B41" s="236"/>
      <c r="C41" s="236"/>
      <c r="D41" s="236"/>
      <c r="E41" s="236"/>
      <c r="F41" s="236"/>
    </row>
    <row r="42" spans="1:6">
      <c r="A42" s="6"/>
      <c r="B42" s="6"/>
      <c r="C42" s="7"/>
      <c r="D42" s="8"/>
      <c r="E42" s="9"/>
      <c r="F42" s="7"/>
    </row>
    <row r="43" spans="1:6">
      <c r="A43" s="6"/>
      <c r="B43" s="6"/>
      <c r="C43" s="10"/>
      <c r="D43" s="11" t="s">
        <v>103</v>
      </c>
      <c r="E43" s="12"/>
      <c r="F43" s="13">
        <f>2860744.48105226+744862.42</f>
        <v>3605606.9010522598</v>
      </c>
    </row>
    <row r="44" spans="1:6">
      <c r="A44" s="14"/>
      <c r="B44" s="14"/>
      <c r="C44" s="10"/>
      <c r="D44" s="191" t="s">
        <v>104</v>
      </c>
      <c r="E44" s="12"/>
      <c r="F44" s="13">
        <v>1978547.53</v>
      </c>
    </row>
    <row r="45" spans="1:6">
      <c r="A45" s="14"/>
      <c r="B45" s="14"/>
      <c r="C45" s="10"/>
      <c r="D45" s="191" t="s">
        <v>105</v>
      </c>
      <c r="E45" s="12"/>
      <c r="F45" s="13">
        <v>2090948.85</v>
      </c>
    </row>
    <row r="46" spans="1:6">
      <c r="A46" s="14"/>
      <c r="B46" s="14"/>
      <c r="C46" s="10"/>
      <c r="D46" s="11"/>
      <c r="E46" s="12"/>
      <c r="F46" s="13"/>
    </row>
    <row r="47" spans="1:6">
      <c r="A47" s="14"/>
      <c r="B47" s="14"/>
      <c r="C47" s="10"/>
      <c r="D47" s="11"/>
      <c r="E47" s="12"/>
      <c r="F47" s="13"/>
    </row>
    <row r="48" spans="1:6">
      <c r="A48" s="14"/>
      <c r="B48" s="14"/>
      <c r="C48" s="10"/>
      <c r="D48" s="11"/>
      <c r="E48" s="12"/>
      <c r="F48" s="13"/>
    </row>
    <row r="49" spans="1:6">
      <c r="A49" s="14"/>
      <c r="B49" s="14"/>
      <c r="C49" s="10"/>
      <c r="D49" s="11"/>
      <c r="E49" s="12"/>
      <c r="F49" s="13"/>
    </row>
    <row r="50" spans="1:6">
      <c r="A50" s="14"/>
      <c r="B50" s="14"/>
      <c r="C50" s="10"/>
      <c r="D50" s="11"/>
      <c r="E50" s="12"/>
      <c r="F50" s="13"/>
    </row>
    <row r="51" spans="1:6">
      <c r="A51" s="14"/>
      <c r="B51" s="14"/>
      <c r="C51" s="10"/>
      <c r="D51" s="11"/>
      <c r="E51" s="12"/>
      <c r="F51" s="13"/>
    </row>
    <row r="52" spans="1:6">
      <c r="A52" s="5"/>
      <c r="B52" s="5"/>
      <c r="C52" s="15"/>
      <c r="D52" s="16"/>
      <c r="E52" s="5"/>
      <c r="F52" s="15"/>
    </row>
    <row r="53" spans="1:6">
      <c r="A53" s="14"/>
      <c r="B53" s="14"/>
      <c r="C53" s="10">
        <f>SUM(C43:C52)</f>
        <v>0</v>
      </c>
      <c r="D53" s="11"/>
      <c r="E53" s="12"/>
      <c r="F53" s="10">
        <f>SUM(F43:F52)</f>
        <v>7675103.2810522597</v>
      </c>
    </row>
    <row r="54" spans="1:6">
      <c r="A54" s="5"/>
      <c r="B54" s="5"/>
      <c r="C54" s="15"/>
      <c r="D54" s="16"/>
      <c r="E54" s="5"/>
      <c r="F54" s="15"/>
    </row>
    <row r="55" spans="1:6">
      <c r="D55" s="17"/>
    </row>
    <row r="56" spans="1:6">
      <c r="C56" s="18"/>
      <c r="D56" s="19"/>
      <c r="F56" s="20">
        <f>+F53-C53</f>
        <v>7675103.2810522597</v>
      </c>
    </row>
    <row r="57" spans="1:6">
      <c r="D57" s="17"/>
    </row>
  </sheetData>
  <mergeCells count="3">
    <mergeCell ref="A3:F3"/>
    <mergeCell ref="A22:F22"/>
    <mergeCell ref="A41:F41"/>
  </mergeCells>
  <pageMargins left="0.69930555555555596" right="0.69930555555555596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6:I39"/>
  <sheetViews>
    <sheetView topLeftCell="A22" workbookViewId="0">
      <selection activeCell="H40" sqref="H40"/>
    </sheetView>
  </sheetViews>
  <sheetFormatPr defaultColWidth="9" defaultRowHeight="15"/>
  <cols>
    <col min="6" max="6" width="13.7109375" customWidth="1"/>
    <col min="7" max="7" width="12" customWidth="1"/>
    <col min="8" max="8" width="13.28515625" customWidth="1"/>
    <col min="9" max="9" width="13.7109375" customWidth="1"/>
  </cols>
  <sheetData>
    <row r="6" spans="6:9">
      <c r="F6" s="1" t="s">
        <v>106</v>
      </c>
      <c r="G6" s="1" t="s">
        <v>107</v>
      </c>
      <c r="H6" s="1" t="s">
        <v>108</v>
      </c>
    </row>
    <row r="7" spans="6:9">
      <c r="F7" s="2">
        <f>292999.1+17860</f>
        <v>310859.09999999998</v>
      </c>
      <c r="G7" s="2">
        <v>133012.03</v>
      </c>
      <c r="H7" s="2">
        <v>15600</v>
      </c>
      <c r="I7" s="3">
        <f>+F7-G7-H7</f>
        <v>162247.07</v>
      </c>
    </row>
    <row r="8" spans="6:9">
      <c r="F8" s="3">
        <v>177936</v>
      </c>
      <c r="G8" s="3">
        <v>99044.34</v>
      </c>
      <c r="H8" s="3"/>
      <c r="I8" s="3">
        <f t="shared" ref="I8:I33" si="0">+F8-G8-H8</f>
        <v>78891.66</v>
      </c>
    </row>
    <row r="9" spans="6:9">
      <c r="F9" s="3">
        <v>288321.59999999998</v>
      </c>
      <c r="G9" s="3">
        <v>148982.79999999999</v>
      </c>
      <c r="H9" s="3"/>
      <c r="I9" s="3">
        <f t="shared" si="0"/>
        <v>139338.79999999999</v>
      </c>
    </row>
    <row r="10" spans="6:9">
      <c r="F10" s="3">
        <f>211613.6+71.4</f>
        <v>211685</v>
      </c>
      <c r="G10" s="3">
        <v>113627.56</v>
      </c>
      <c r="H10" s="3">
        <v>52.8</v>
      </c>
      <c r="I10" s="3">
        <f t="shared" si="0"/>
        <v>98004.64</v>
      </c>
    </row>
    <row r="11" spans="6:9">
      <c r="F11" s="3">
        <v>305031.2</v>
      </c>
      <c r="G11" s="3">
        <v>175966.37</v>
      </c>
      <c r="H11" s="3"/>
      <c r="I11" s="3">
        <f t="shared" si="0"/>
        <v>129064.83</v>
      </c>
    </row>
    <row r="12" spans="6:9">
      <c r="F12" s="3">
        <f>400585.7+17860</f>
        <v>418445.7</v>
      </c>
      <c r="G12" s="3">
        <v>196702.95</v>
      </c>
      <c r="H12" s="3">
        <v>15600</v>
      </c>
      <c r="I12" s="3">
        <f t="shared" si="0"/>
        <v>206142.75</v>
      </c>
    </row>
    <row r="13" spans="6:9">
      <c r="F13" s="3"/>
      <c r="G13" s="3"/>
      <c r="H13" s="3"/>
      <c r="I13" s="3">
        <f t="shared" si="0"/>
        <v>0</v>
      </c>
    </row>
    <row r="14" spans="6:9">
      <c r="F14" s="3"/>
      <c r="G14" s="3"/>
      <c r="H14" s="3"/>
      <c r="I14" s="3">
        <f t="shared" si="0"/>
        <v>0</v>
      </c>
    </row>
    <row r="15" spans="6:9">
      <c r="F15" s="3"/>
      <c r="G15" s="3"/>
      <c r="H15" s="3"/>
      <c r="I15" s="3">
        <f t="shared" si="0"/>
        <v>0</v>
      </c>
    </row>
    <row r="16" spans="6:9">
      <c r="F16" s="3"/>
      <c r="G16" s="3"/>
      <c r="H16" s="3"/>
      <c r="I16" s="3">
        <f t="shared" si="0"/>
        <v>0</v>
      </c>
    </row>
    <row r="17" spans="6:9">
      <c r="F17" s="3"/>
      <c r="G17" s="3"/>
      <c r="H17" s="3"/>
      <c r="I17" s="3">
        <f t="shared" si="0"/>
        <v>0</v>
      </c>
    </row>
    <row r="18" spans="6:9">
      <c r="F18" s="3"/>
      <c r="G18" s="3"/>
      <c r="H18" s="3"/>
      <c r="I18" s="3">
        <f t="shared" si="0"/>
        <v>0</v>
      </c>
    </row>
    <row r="19" spans="6:9">
      <c r="F19" s="3"/>
      <c r="G19" s="3"/>
      <c r="H19" s="3"/>
      <c r="I19" s="3">
        <f t="shared" si="0"/>
        <v>0</v>
      </c>
    </row>
    <row r="20" spans="6:9">
      <c r="F20" s="3"/>
      <c r="G20" s="3"/>
      <c r="H20" s="3"/>
      <c r="I20" s="3">
        <f t="shared" si="0"/>
        <v>0</v>
      </c>
    </row>
    <row r="21" spans="6:9">
      <c r="F21" s="3"/>
      <c r="G21" s="3"/>
      <c r="H21" s="3"/>
      <c r="I21" s="3">
        <f t="shared" si="0"/>
        <v>0</v>
      </c>
    </row>
    <row r="22" spans="6:9">
      <c r="F22" s="3"/>
      <c r="G22" s="3"/>
      <c r="H22" s="3"/>
      <c r="I22" s="3">
        <f t="shared" si="0"/>
        <v>0</v>
      </c>
    </row>
    <row r="23" spans="6:9">
      <c r="F23" s="3"/>
      <c r="G23" s="3"/>
      <c r="H23" s="3"/>
      <c r="I23" s="3">
        <f t="shared" si="0"/>
        <v>0</v>
      </c>
    </row>
    <row r="24" spans="6:9">
      <c r="F24" s="4"/>
      <c r="G24" s="4"/>
      <c r="H24" s="4"/>
      <c r="I24" s="3">
        <f t="shared" si="0"/>
        <v>0</v>
      </c>
    </row>
    <row r="25" spans="6:9">
      <c r="F25" s="4"/>
      <c r="G25" s="4"/>
      <c r="H25" s="4"/>
      <c r="I25" s="3">
        <f t="shared" si="0"/>
        <v>0</v>
      </c>
    </row>
    <row r="26" spans="6:9">
      <c r="F26" s="4"/>
      <c r="G26" s="4"/>
      <c r="H26" s="4"/>
      <c r="I26" s="3">
        <f t="shared" si="0"/>
        <v>0</v>
      </c>
    </row>
    <row r="27" spans="6:9">
      <c r="F27" s="4"/>
      <c r="G27" s="4"/>
      <c r="H27" s="4"/>
      <c r="I27" s="3">
        <f t="shared" si="0"/>
        <v>0</v>
      </c>
    </row>
    <row r="28" spans="6:9">
      <c r="F28" s="4"/>
      <c r="G28" s="4"/>
      <c r="H28" s="4"/>
      <c r="I28" s="3">
        <f t="shared" si="0"/>
        <v>0</v>
      </c>
    </row>
    <row r="29" spans="6:9">
      <c r="F29" s="4"/>
      <c r="G29" s="4"/>
      <c r="H29" s="4"/>
      <c r="I29" s="3">
        <f t="shared" si="0"/>
        <v>0</v>
      </c>
    </row>
    <row r="30" spans="6:9">
      <c r="F30" s="4"/>
      <c r="G30" s="4"/>
      <c r="H30" s="4"/>
      <c r="I30" s="3">
        <f t="shared" si="0"/>
        <v>0</v>
      </c>
    </row>
    <row r="31" spans="6:9">
      <c r="F31" s="4"/>
      <c r="G31" s="4"/>
      <c r="H31" s="4"/>
      <c r="I31" s="3">
        <f t="shared" si="0"/>
        <v>0</v>
      </c>
    </row>
    <row r="32" spans="6:9">
      <c r="F32" s="4"/>
      <c r="G32" s="4"/>
      <c r="H32" s="4"/>
      <c r="I32" s="3">
        <f t="shared" si="0"/>
        <v>0</v>
      </c>
    </row>
    <row r="33" spans="6:9">
      <c r="F33" s="4"/>
      <c r="G33" s="4"/>
      <c r="H33" s="4"/>
      <c r="I33" s="3">
        <f t="shared" si="0"/>
        <v>0</v>
      </c>
    </row>
    <row r="34" spans="6:9">
      <c r="F34" s="4"/>
      <c r="G34" s="4"/>
      <c r="H34" s="4"/>
      <c r="I34" s="3"/>
    </row>
    <row r="35" spans="6:9">
      <c r="F35" s="4"/>
      <c r="G35" s="4"/>
      <c r="H35" s="4"/>
      <c r="I35" s="3"/>
    </row>
    <row r="36" spans="6:9">
      <c r="F36" s="4">
        <f>SUM(F7:F35)</f>
        <v>1712278.6</v>
      </c>
      <c r="G36" s="4">
        <f t="shared" ref="G36:I36" si="1">SUM(G7:G35)</f>
        <v>867336.05</v>
      </c>
      <c r="H36" s="4">
        <f t="shared" si="1"/>
        <v>31252.799999999999</v>
      </c>
      <c r="I36" s="4">
        <f t="shared" si="1"/>
        <v>813689.75</v>
      </c>
    </row>
    <row r="37" spans="6:9">
      <c r="F37" s="4"/>
      <c r="G37" s="4"/>
      <c r="H37" s="4"/>
      <c r="I37" s="3"/>
    </row>
    <row r="38" spans="6:9">
      <c r="F38" s="4"/>
      <c r="G38" s="4">
        <f>+G36+H36</f>
        <v>898588.85</v>
      </c>
      <c r="H38" s="4"/>
      <c r="I38" s="3"/>
    </row>
    <row r="39" spans="6:9">
      <c r="F39" s="4"/>
      <c r="G39" s="4"/>
      <c r="H39" s="4"/>
      <c r="I39" s="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trb</vt:lpstr>
      <vt:lpstr>bs</vt:lpstr>
      <vt:lpstr>IS</vt:lpstr>
      <vt:lpstr>-</vt:lpstr>
      <vt:lpstr>Asset-C</vt:lpstr>
      <vt:lpstr>Payables-C</vt:lpstr>
      <vt:lpstr>Income &amp; Expense-C</vt:lpstr>
      <vt:lpstr>Equity-C</vt:lpstr>
      <vt:lpstr>Sheet1</vt:lpstr>
      <vt:lpstr>IS!Print_Area</vt:lpstr>
      <vt:lpstr>trb!Print_Area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THIS-PC</dc:creator>
  <cp:lastModifiedBy>THIS-PC</cp:lastModifiedBy>
  <dcterms:created xsi:type="dcterms:W3CDTF">2006-09-16T00:00:00Z</dcterms:created>
  <dcterms:modified xsi:type="dcterms:W3CDTF">2021-04-12T16:10:43Z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1033-10.2.0.7478</vt:lpwstr>
  </property>
</Properties>
</file>